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drawing2.xml" ContentType="application/vnd.openxmlformats-officedocument.drawing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olors3.xml" ContentType="application/vnd.ms-office.chartcolorstyle+xml"/>
  <Override PartName="/xl/charts/style2.xml" ContentType="application/vnd.ms-office.chartsty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3.xml" ContentType="application/vnd.ms-office.chartstyle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5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lculation Sheet" sheetId="1" state="visible" r:id="rId3"/>
    <sheet name="Thermal Shutdown Limit Plot" sheetId="2" state="visible" r:id="rId4"/>
    <sheet name="Res EIA Tables" sheetId="3" state="visible" r:id="rId5"/>
    <sheet name="Cap Tables" sheetId="4" state="visible" r:id="rId6"/>
  </sheets>
  <definedNames>
    <definedName function="false" hidden="false" name="Cdvdt_ext" vbProcedure="false">'Calculation Sheet'!$D$42</definedName>
    <definedName function="false" hidden="false" name="Cdvdt_ext_cal1" vbProcedure="false">'Calculation Sheet'!$D$39</definedName>
    <definedName function="false" hidden="false" name="Cext" vbProcedure="false">'Calculation Sheet'!$H$9</definedName>
    <definedName function="false" hidden="false" name="Cexttol" vbProcedure="false">'Calculation Sheet'!$H$10</definedName>
    <definedName function="false" hidden="false" name="Cext_dvdt_cal2" vbProcedure="false">'Calculation Sheet'!$D$40</definedName>
    <definedName function="false" hidden="false" name="Cgs_gate" vbProcedure="false">'calculation sheet'!#ref!</definedName>
    <definedName function="false" hidden="false" name="Cint" vbProcedure="false">'calculation sheet'!#ref!</definedName>
    <definedName function="false" hidden="false" name="Cout" vbProcedure="false">'Calculation Sheet'!$D$8</definedName>
    <definedName function="false" hidden="false" name="Coutp" vbProcedure="false">'calculation sheet'!#ref!</definedName>
    <definedName function="false" hidden="false" name="Ctot" vbProcedure="false">'Calculation Sheet'!$H$12</definedName>
    <definedName function="false" hidden="false" name="GainCdvdt" vbProcedure="false">'Calculation Sheet'!$T$9</definedName>
    <definedName function="false" hidden="false" name="Gain_dvdt" vbProcedure="false">'Calculation Sheet'!$D$34</definedName>
    <definedName function="false" hidden="false" name="Icharge" vbProcedure="false">'Calculation Sheet'!$D$43</definedName>
    <definedName function="false" hidden="false" name="Icharge_req" vbProcedure="false">'Calculation Sheet'!$D$38</definedName>
    <definedName function="false" hidden="false" name="Ichgmax" vbProcedure="false">'calculation sheet'!#ref!</definedName>
    <definedName function="false" hidden="false" name="Igs_gate" vbProcedure="false">'calculation sheet'!#ref!</definedName>
    <definedName function="false" hidden="false" name="Ilimit" vbProcedure="false">'Calculation Sheet'!$D$11</definedName>
    <definedName function="false" hidden="false" name="Ilimit_final" vbProcedure="false">'Calculation Sheet'!$D$27</definedName>
    <definedName function="false" hidden="false" name="Ilimit_offset" vbProcedure="false">'Calculation Sheet'!$D$78</definedName>
    <definedName function="false" hidden="false" name="Ilimit_vset" vbProcedure="false">'Calculation Sheet'!$D$77</definedName>
    <definedName function="false" hidden="false" name="Imax" vbProcedure="false">'Calculation Sheet'!$D$10</definedName>
    <definedName function="false" hidden="false" name="Imon_chg" vbProcedure="false">'calculation sheet'!#ref!</definedName>
    <definedName function="false" hidden="false" name="Imon_gain" vbProcedure="false">'calculation sheet'!#ref!</definedName>
    <definedName function="false" hidden="false" name="I_dvdt" vbProcedure="false">'Calculation Sheet'!$D$33</definedName>
    <definedName function="false" hidden="false" name="OVref" vbProcedure="false">'calculation sheet'!#ref!</definedName>
    <definedName function="false" hidden="false" name="OVset" vbProcedure="false">'calculation sheet'!#ref!</definedName>
    <definedName function="false" hidden="false" name="PGTH" vbProcedure="false">'calculation sheet'!#ref!</definedName>
    <definedName function="false" hidden="false" name="PGTH_REF" vbProcedure="false">'calculation sheet'!#ref!</definedName>
    <definedName function="false" hidden="false" name="Rdson_125deg" vbProcedure="false">'Calculation Sheet'!$D$67</definedName>
    <definedName function="false" hidden="false" name="Rdson_25deg" vbProcedure="false">'Calculation Sheet'!$D$66</definedName>
    <definedName function="false" hidden="false" name="Rdson_85deg" vbProcedure="false">'calculation sheet'!#ref!</definedName>
    <definedName function="false" hidden="false" name="Rilim" vbProcedure="false">'Calculation Sheet'!$D$26</definedName>
    <definedName function="false" hidden="false" name="Rlimit" vbProcedure="false">'Calculation Sheet'!$D$26</definedName>
    <definedName function="false" hidden="false" name="Rlstart" vbProcedure="false">'Calculation Sheet'!$D$9</definedName>
    <definedName function="false" hidden="false" name="RMON_sel" vbProcedure="false">'calculation sheet'!#ref!</definedName>
    <definedName function="false" hidden="false" name="RpPGTH" vbProcedure="false">'calculation sheet'!#ref!</definedName>
    <definedName function="false" hidden="false" name="RpUVLO" vbProcedure="false">'Calculation Sheet'!$D$14</definedName>
    <definedName function="false" hidden="false" name="Rtheta_ja_max" vbProcedure="false">'calculation sheet'!#ref!</definedName>
    <definedName function="false" hidden="false" name="Tch" vbProcedure="false">'Calculation Sheet'!$H$15</definedName>
    <definedName function="false" hidden="false" name="Tchg_dvdt" vbProcedure="false">'Calculation Sheet'!$D$45</definedName>
    <definedName function="false" hidden="false" name="Tchg_req" vbProcedure="false">'Calculation Sheet'!$D$37</definedName>
    <definedName function="false" hidden="false" name="Tchmin" vbProcedure="false">'Calculation Sheet'!$D$76</definedName>
    <definedName function="false" hidden="false" name="Tj_max" vbProcedure="false">'Calculation Sheet'!$B$58</definedName>
    <definedName function="false" hidden="false" name="UVref" vbProcedure="false">'Calculation Sheet'!$D$75</definedName>
    <definedName function="false" hidden="false" name="UVset" vbProcedure="false">'Calculation Sheet'!$D$7</definedName>
    <definedName function="false" hidden="false" name="Vcc_max" vbProcedure="false">'Calculation Sheet'!$D$6</definedName>
    <definedName function="false" hidden="false" name="Vsys" vbProcedure="false">'Calculation Sheet'!$H$7</definedName>
    <definedName function="false" hidden="false" name="Ztheta_jc_tran" vbProcedure="false">'calculation sheet'!#ref!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Vishal Gupta</author>
    <author>a0176617</author>
    <author>a0393740</author>
  </authors>
  <commentList>
    <comment ref="C14" authorId="2">
      <text>
        <r>
          <rPr>
            <sz val="10"/>
            <rFont val="Arial"/>
            <family val="2"/>
          </rPr>
          <t xml:space="preserve">Higher value will limit the input current drawn from source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</xdr:col>
                <xdr:colOff>110</xdr:colOff>
                <xdr:row>13</xdr:row>
                <xdr:rowOff>3</xdr:rowOff>
              </xdr:from>
              <xdr:to>
                <xdr:col>3</xdr:col>
                <xdr:colOff>-281</xdr:colOff>
                <xdr:row>16</xdr:row>
                <xdr:rowOff>4</xdr:rowOff>
              </xdr:to>
            </anchor>
          </commentPr>
        </mc:Choice>
        <mc:Fallback/>
      </mc:AlternateContent>
    </comment>
    <comment ref="C73" authorId="1">
      <text>
        <r>
          <rPr>
            <sz val="10"/>
            <rFont val="Arial"/>
            <family val="2"/>
          </rPr>
          <t xml:space="preserve">Assumption:
</t>
        </r>
        <r>
          <rPr>
            <sz val="8"/>
            <color rgb="FF000000"/>
            <rFont val="Tahoma"/>
            <family val="2"/>
            <charset val="1"/>
          </rPr>
          <t xml:space="preserve">Depends on application PCB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</xdr:col>
                <xdr:colOff>109</xdr:colOff>
                <xdr:row>70</xdr:row>
                <xdr:rowOff>2</xdr:rowOff>
              </xdr:from>
              <xdr:to>
                <xdr:col>6</xdr:col>
                <xdr:colOff>118</xdr:colOff>
                <xdr:row>72</xdr:row>
                <xdr:rowOff>8</xdr:rowOff>
              </xdr:to>
            </anchor>
          </commentPr>
        </mc:Choice>
        <mc:Fallback/>
      </mc:AlternateContent>
    </comment>
    <comment ref="G9" authorId="0">
      <text>
        <r>
          <rPr>
            <sz val="10"/>
            <rFont val="Arial"/>
            <family val="2"/>
          </rPr>
          <t xml:space="preserve">Min Rlstart allowed.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</xdr:col>
                <xdr:colOff>142</xdr:colOff>
                <xdr:row>7</xdr:row>
                <xdr:rowOff>5</xdr:rowOff>
              </xdr:from>
              <xdr:to>
                <xdr:col>3</xdr:col>
                <xdr:colOff>30</xdr:colOff>
                <xdr:row>10</xdr:row>
                <xdr:rowOff>8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<sst xmlns="http://schemas.openxmlformats.org/spreadsheetml/2006/main" count="254" uniqueCount="179">
  <si>
    <t xml:space="preserve">TPS2592xx Design Calculation Tool</t>
  </si>
  <si>
    <t xml:space="preserve">Constants Cells</t>
  </si>
  <si>
    <t xml:space="preserve">Input/SelectCells</t>
  </si>
  <si>
    <t xml:space="preserve">Calculation Cells</t>
  </si>
  <si>
    <t xml:space="preserve">Recommended
Value</t>
  </si>
  <si>
    <t xml:space="preserve">Calculated, but can be over-ridden by user</t>
  </si>
  <si>
    <t xml:space="preserve">Parameter</t>
  </si>
  <si>
    <t xml:space="preserve">Description</t>
  </si>
  <si>
    <t xml:space="preserve">Value </t>
  </si>
  <si>
    <t xml:space="preserve"> Units</t>
  </si>
  <si>
    <t xml:space="preserve">Tolerance</t>
  </si>
  <si>
    <t xml:space="preserve">Version</t>
  </si>
  <si>
    <r>
      <rPr>
        <b val="true"/>
        <sz val="11"/>
        <color theme="1"/>
        <rFont val="Calibri"/>
        <family val="2"/>
        <charset val="1"/>
      </rPr>
      <t xml:space="preserve">V</t>
    </r>
    <r>
      <rPr>
        <b val="true"/>
        <vertAlign val="subscript"/>
        <sz val="11"/>
        <color theme="1"/>
        <rFont val="Calibri"/>
        <family val="2"/>
        <charset val="1"/>
      </rPr>
      <t xml:space="preserve">OVC (V)</t>
    </r>
  </si>
  <si>
    <r>
      <rPr>
        <b val="true"/>
        <sz val="11"/>
        <color theme="1"/>
        <rFont val="Calibri"/>
        <family val="2"/>
        <charset val="1"/>
      </rPr>
      <t xml:space="preserve">Max Rdson (mΩ</t>
    </r>
    <r>
      <rPr>
        <b val="true"/>
        <sz val="9.35"/>
        <color theme="1"/>
        <rFont val="Calibri"/>
        <family val="2"/>
        <charset val="1"/>
      </rPr>
      <t xml:space="preserve">) @ 25 degC</t>
    </r>
  </si>
  <si>
    <r>
      <rPr>
        <b val="true"/>
        <sz val="11"/>
        <color theme="1"/>
        <rFont val="Calibri"/>
        <family val="2"/>
        <charset val="1"/>
      </rPr>
      <t xml:space="preserve">Max Rdson (mΩ</t>
    </r>
    <r>
      <rPr>
        <b val="true"/>
        <sz val="9.35"/>
        <color theme="1"/>
        <rFont val="Calibri"/>
        <family val="2"/>
        <charset val="1"/>
      </rPr>
      <t xml:space="preserve">) @ 125 degC</t>
    </r>
  </si>
  <si>
    <t xml:space="preserve">12V or 5V version</t>
  </si>
  <si>
    <t xml:space="preserve">Select among TPS25923x/4x/5x/6x  for Over Voltage Clamp</t>
  </si>
  <si>
    <t xml:space="preserve">TPS25923</t>
  </si>
  <si>
    <t xml:space="preserve">VIN (max)</t>
  </si>
  <si>
    <t xml:space="preserve">Maximum system input voltage (magnitude)</t>
  </si>
  <si>
    <t xml:space="preserve">V</t>
  </si>
  <si>
    <t xml:space="preserve">%</t>
  </si>
  <si>
    <t xml:space="preserve">TPS25924</t>
  </si>
  <si>
    <t xml:space="preserve">UVset</t>
  </si>
  <si>
    <t xml:space="preserve">Power Failure Detection Threshold (VIN  Falling)</t>
  </si>
  <si>
    <t xml:space="preserve">TPS25925</t>
  </si>
  <si>
    <t xml:space="preserve">Cout</t>
  </si>
  <si>
    <t xml:space="preserve">Load Capacitance</t>
  </si>
  <si>
    <t xml:space="preserve">uF</t>
  </si>
  <si>
    <t xml:space="preserve">TPS25926</t>
  </si>
  <si>
    <t xml:space="preserve">Rlstart</t>
  </si>
  <si>
    <t xml:space="preserve">Load at start-up (assumed to be resistive)</t>
  </si>
  <si>
    <t xml:space="preserve">Ohm</t>
  </si>
  <si>
    <t xml:space="preserve">TPS25927</t>
  </si>
  <si>
    <t xml:space="preserve">No Clamp</t>
  </si>
  <si>
    <t xml:space="preserve">Imax</t>
  </si>
  <si>
    <t xml:space="preserve">Maximum continuous load current (magnitude)</t>
  </si>
  <si>
    <t xml:space="preserve">A</t>
  </si>
  <si>
    <t xml:space="preserve">Ilimit</t>
  </si>
  <si>
    <t xml:space="preserve">Current Limit, 20% higher than maximum continuous load current</t>
  </si>
  <si>
    <t xml:space="preserve">UVLO set point calculations</t>
  </si>
  <si>
    <t xml:space="preserve">R1: Pullup at UVLO Pin</t>
  </si>
  <si>
    <t xml:space="preserve">Select a value &gt; 100K to keep I_R12 low</t>
  </si>
  <si>
    <t xml:space="preserve">kOhm</t>
  </si>
  <si>
    <t xml:space="preserve">R2_cal</t>
  </si>
  <si>
    <t xml:space="preserve">Calculated value of Resistor at UVLO pin</t>
  </si>
  <si>
    <t xml:space="preserve">Power Fail 
(VIN Falling)</t>
  </si>
  <si>
    <t xml:space="preserve">SELECT THE VALUE OF RESISTORS AS CLOSEST AVAILABLE VALUE OF R2</t>
  </si>
  <si>
    <t xml:space="preserve">Release UVLO (VIN Rising)</t>
  </si>
  <si>
    <t xml:space="preserve">R2</t>
  </si>
  <si>
    <t xml:space="preserve">Select the closest possible value as R2_cal</t>
  </si>
  <si>
    <t xml:space="preserve">OV Clamp
(VIN Rising)</t>
  </si>
  <si>
    <t xml:space="preserve">UV_final</t>
  </si>
  <si>
    <t xml:space="preserve">EN_final</t>
  </si>
  <si>
    <t xml:space="preserve">Release UVLO, Enable Chip (VIN Rising)</t>
  </si>
  <si>
    <t xml:space="preserve">I_R12</t>
  </si>
  <si>
    <t xml:space="preserve">Current in R1, R2 Branch</t>
  </si>
  <si>
    <t xml:space="preserve">uA</t>
  </si>
  <si>
    <r>
      <rPr>
        <sz val="11"/>
        <color theme="1"/>
        <rFont val="Calibri"/>
        <family val="2"/>
        <charset val="1"/>
      </rPr>
      <t xml:space="preserve">V</t>
    </r>
    <r>
      <rPr>
        <vertAlign val="subscript"/>
        <sz val="11"/>
        <color theme="1"/>
        <rFont val="Calibri"/>
        <family val="2"/>
        <charset val="1"/>
      </rPr>
      <t xml:space="preserve">OVC</t>
    </r>
  </si>
  <si>
    <t xml:space="preserve">Over Voltage Clamp</t>
  </si>
  <si>
    <t xml:space="preserve">Calculations for Ilimit (resistor on Ilimit Pin)</t>
  </si>
  <si>
    <r>
      <rPr>
        <sz val="11"/>
        <color theme="1"/>
        <rFont val="Calibri"/>
        <family val="2"/>
        <charset val="1"/>
      </rPr>
      <t xml:space="preserve">R</t>
    </r>
    <r>
      <rPr>
        <sz val="7"/>
        <color theme="1"/>
        <rFont val="Calibri"/>
        <family val="2"/>
        <charset val="1"/>
      </rPr>
      <t xml:space="preserve">LIM</t>
    </r>
    <r>
      <rPr>
        <sz val="11"/>
        <color theme="1"/>
        <rFont val="Calibri"/>
        <family val="2"/>
        <charset val="1"/>
      </rPr>
      <t xml:space="preserve">_cal</t>
    </r>
  </si>
  <si>
    <t xml:space="preserve">Calculated current limit resistor</t>
  </si>
  <si>
    <t xml:space="preserve">Inrush Charging 
Current</t>
  </si>
  <si>
    <t xml:space="preserve">SELECT A ILIMIT RESISTOR WITH THE CLOSEST AVAILABLE VALUE OF Rilim_Cal</t>
  </si>
  <si>
    <t xml:space="preserve">Overload Curr
Limit</t>
  </si>
  <si>
    <r>
      <rPr>
        <sz val="11"/>
        <color theme="1"/>
        <rFont val="Calibri"/>
        <family val="2"/>
        <charset val="1"/>
      </rPr>
      <t xml:space="preserve">R</t>
    </r>
    <r>
      <rPr>
        <sz val="7"/>
        <color theme="1"/>
        <rFont val="Calibri"/>
        <family val="2"/>
        <charset val="1"/>
      </rPr>
      <t xml:space="preserve">LIM</t>
    </r>
  </si>
  <si>
    <r>
      <rPr>
        <sz val="11"/>
        <color theme="1"/>
        <rFont val="Calibri"/>
        <family val="2"/>
        <charset val="1"/>
      </rPr>
      <t xml:space="preserve">Select the closest available value of R</t>
    </r>
    <r>
      <rPr>
        <sz val="7"/>
        <color theme="1"/>
        <rFont val="Calibri"/>
        <family val="2"/>
        <charset val="1"/>
      </rPr>
      <t xml:space="preserve">LIM</t>
    </r>
    <r>
      <rPr>
        <sz val="11"/>
        <color theme="1"/>
        <rFont val="Calibri"/>
        <family val="2"/>
        <charset val="1"/>
      </rPr>
      <t xml:space="preserve">_cal</t>
    </r>
  </si>
  <si>
    <t xml:space="preserve">Fastrip Curr
Limit</t>
  </si>
  <si>
    <t xml:space="preserve">Ilimit_final</t>
  </si>
  <si>
    <t xml:space="preserve">Final current Limit Set Point</t>
  </si>
  <si>
    <t xml:space="preserve">Ifstrip</t>
  </si>
  <si>
    <t xml:space="preserve">Fast-Trip Current Limit to detect short circuit</t>
  </si>
  <si>
    <t xml:space="preserve">Calculations for SoftStart control (external cap on dVdT pin)</t>
  </si>
  <si>
    <t xml:space="preserve">I_dVdT</t>
  </si>
  <si>
    <t xml:space="preserve">Internal current charging capacitor on dVdT</t>
  </si>
  <si>
    <t xml:space="preserve">Gain_dVdT</t>
  </si>
  <si>
    <t xml:space="preserve">Internal Gain for dVdT Control</t>
  </si>
  <si>
    <t xml:space="preserve">V/V</t>
  </si>
  <si>
    <t xml:space="preserve">Icharge_fastest</t>
  </si>
  <si>
    <r>
      <rPr>
        <sz val="11"/>
        <color theme="1"/>
        <rFont val="Calibri"/>
        <family val="2"/>
        <charset val="1"/>
      </rPr>
      <t xml:space="preserve">Charging current when charging at fastest possible rate
</t>
    </r>
    <r>
      <rPr>
        <b val="true"/>
        <sz val="11"/>
        <color rgb="FFFF3300"/>
        <rFont val="Calibri"/>
        <family val="2"/>
        <charset val="1"/>
      </rPr>
      <t xml:space="preserve">If this current is &lt; Ilimit, no capacitor is required at dVdT pin</t>
    </r>
  </si>
  <si>
    <t xml:space="preserve">Tchg_fastest</t>
  </si>
  <si>
    <t xml:space="preserve">No capacitor on dVdT pin, No Load at start-up</t>
  </si>
  <si>
    <t xml:space="preserve">ms</t>
  </si>
  <si>
    <t xml:space="preserve">Tchg_req</t>
  </si>
  <si>
    <t xml:space="preserve">The charging time required</t>
  </si>
  <si>
    <t xml:space="preserve">Icharge_req</t>
  </si>
  <si>
    <t xml:space="preserve">Charging (inrush) current desired in the system</t>
  </si>
  <si>
    <t xml:space="preserve">Cext_dvdt_cal1</t>
  </si>
  <si>
    <t xml:space="preserve">calculated value of capacitor at dVdT pin for required Tcharge</t>
  </si>
  <si>
    <t xml:space="preserve">nF</t>
  </si>
  <si>
    <t xml:space="preserve">Cext_dvdt_cal2</t>
  </si>
  <si>
    <t xml:space="preserve">calculated value of capacitor at dVdT pin for required Icharge</t>
  </si>
  <si>
    <t xml:space="preserve">SELECT A CAPACITOR WITH THE CLOSEST POSSIBLE VALUE to max(Cext_dvdt_cal1, Cext_dvdt_cal2)</t>
  </si>
  <si>
    <t xml:space="preserve">CdVdT_ext</t>
  </si>
  <si>
    <t xml:space="preserve">The external capacitor connecetd across dVdT pin</t>
  </si>
  <si>
    <t xml:space="preserve">Icharge</t>
  </si>
  <si>
    <t xml:space="preserve">Charging Current as per dVdT setting</t>
  </si>
  <si>
    <t xml:space="preserve">Does Device Enter Current Limit during start-up?</t>
  </si>
  <si>
    <t xml:space="preserve">Tchg_dVdT</t>
  </si>
  <si>
    <t xml:space="preserve">Charging time set</t>
  </si>
  <si>
    <t xml:space="preserve">Pd_Cout_startup</t>
  </si>
  <si>
    <t xml:space="preserve">Power dissipation due to load cap at start-up</t>
  </si>
  <si>
    <t xml:space="preserve">W</t>
  </si>
  <si>
    <t xml:space="preserve">Total Power dissipation at Start-up</t>
  </si>
  <si>
    <t xml:space="preserve">Pd_Rlstart</t>
  </si>
  <si>
    <t xml:space="preserve">Power dissipation due to load resistance at start-up</t>
  </si>
  <si>
    <t xml:space="preserve">Pd_startup</t>
  </si>
  <si>
    <t xml:space="preserve">Total power dissipation at start-up</t>
  </si>
  <si>
    <t xml:space="preserve">Max power dissipation allowed for glitch-free startup for the programmed startup time</t>
  </si>
  <si>
    <t xml:space="preserve">Will the system have glitch-free startup?</t>
  </si>
  <si>
    <t xml:space="preserve">Steady state Voltage drop &amp; Power dissipation</t>
  </si>
  <si>
    <t xml:space="preserve">Vdrop</t>
  </si>
  <si>
    <t xml:space="preserve">Maximum voltage drop across device @ 25 degC</t>
  </si>
  <si>
    <t xml:space="preserve">mV</t>
  </si>
  <si>
    <t xml:space="preserve">Pdiss_Imax</t>
  </si>
  <si>
    <t xml:space="preserve">Steady state power dissipation with Max current @ 25degC </t>
  </si>
  <si>
    <t xml:space="preserve">mW</t>
  </si>
  <si>
    <t xml:space="preserve">Parameters internal to Device</t>
  </si>
  <si>
    <t xml:space="preserve">Internal FET Parameters</t>
  </si>
  <si>
    <t xml:space="preserve">VDSS (max)</t>
  </si>
  <si>
    <t xml:space="preserve">FET drain-source voltage rating (maximum)</t>
  </si>
  <si>
    <t xml:space="preserve">ID(max)</t>
  </si>
  <si>
    <t xml:space="preserve">FET drain-source current rating (maximum)</t>
  </si>
  <si>
    <t xml:space="preserve">Rds(on)</t>
  </si>
  <si>
    <t xml:space="preserve">FET maximum Rds(on) at 25degC</t>
  </si>
  <si>
    <t xml:space="preserve">mOhm</t>
  </si>
  <si>
    <t xml:space="preserve">Rds(on)_max</t>
  </si>
  <si>
    <t xml:space="preserve">FET maximum Rds(on) at 125degC</t>
  </si>
  <si>
    <t xml:space="preserve">Thermal Parameters</t>
  </si>
  <si>
    <t xml:space="preserve">Tj(max)</t>
  </si>
  <si>
    <t xml:space="preserve">Deice maximum junction temperature</t>
  </si>
  <si>
    <r>
      <rPr>
        <sz val="10"/>
        <rFont val="Symbol"/>
        <family val="1"/>
        <charset val="2"/>
      </rPr>
      <t xml:space="preserve"></t>
    </r>
    <r>
      <rPr>
        <sz val="11"/>
        <color theme="1"/>
        <rFont val="Calibri"/>
        <family val="2"/>
        <charset val="1"/>
      </rPr>
      <t xml:space="preserve">C</t>
    </r>
  </si>
  <si>
    <t xml:space="preserve">TA(max)</t>
  </si>
  <si>
    <t xml:space="preserve">Maximum ambient temperature of the application</t>
  </si>
  <si>
    <r>
      <rPr>
        <sz val="11"/>
        <color theme="1"/>
        <rFont val="Calibri"/>
        <family val="2"/>
        <charset val="1"/>
      </rPr>
      <t xml:space="preserve">R</t>
    </r>
    <r>
      <rPr>
        <sz val="10"/>
        <rFont val="Symbol"/>
        <family val="1"/>
        <charset val="2"/>
      </rPr>
      <t xml:space="preserve"></t>
    </r>
    <r>
      <rPr>
        <sz val="11"/>
        <color theme="1"/>
        <rFont val="Calibri"/>
        <family val="2"/>
        <charset val="1"/>
      </rPr>
      <t xml:space="preserve">JC</t>
    </r>
  </si>
  <si>
    <t xml:space="preserve">Junction to case (top) Thermal Resistance</t>
  </si>
  <si>
    <r>
      <rPr>
        <sz val="10"/>
        <rFont val="Symbol"/>
        <family val="1"/>
        <charset val="2"/>
      </rPr>
      <t xml:space="preserve"></t>
    </r>
    <r>
      <rPr>
        <sz val="11"/>
        <color theme="1"/>
        <rFont val="Calibri"/>
        <family val="2"/>
        <charset val="1"/>
      </rPr>
      <t xml:space="preserve">C/W</t>
    </r>
  </si>
  <si>
    <r>
      <rPr>
        <sz val="11"/>
        <color theme="1"/>
        <rFont val="Calibri"/>
        <family val="2"/>
        <charset val="1"/>
      </rPr>
      <t xml:space="preserve">R</t>
    </r>
    <r>
      <rPr>
        <sz val="10"/>
        <rFont val="Symbol"/>
        <family val="1"/>
        <charset val="2"/>
      </rPr>
      <t xml:space="preserve"></t>
    </r>
    <r>
      <rPr>
        <sz val="11"/>
        <color theme="1"/>
        <rFont val="Calibri"/>
        <family val="2"/>
        <charset val="1"/>
      </rPr>
      <t xml:space="preserve">JA</t>
    </r>
  </si>
  <si>
    <t xml:space="preserve">Junction to ambient thermal resistance</t>
  </si>
  <si>
    <r>
      <rPr>
        <sz val="11"/>
        <color theme="1"/>
        <rFont val="Calibri"/>
        <family val="2"/>
        <charset val="1"/>
      </rPr>
      <t xml:space="preserve">R</t>
    </r>
    <r>
      <rPr>
        <sz val="10"/>
        <rFont val="Symbol"/>
        <family val="1"/>
        <charset val="2"/>
      </rPr>
      <t xml:space="preserve"></t>
    </r>
    <r>
      <rPr>
        <sz val="11"/>
        <color theme="1"/>
        <rFont val="Calibri"/>
        <family val="2"/>
        <charset val="1"/>
      </rPr>
      <t xml:space="preserve">JCbot</t>
    </r>
  </si>
  <si>
    <t xml:space="preserve">Junction-to-case(bottom) thermal resistance </t>
  </si>
  <si>
    <t xml:space="preserve">Internal References</t>
  </si>
  <si>
    <t xml:space="preserve">UVref</t>
  </si>
  <si>
    <t xml:space="preserve">Internal Undervoltage reference</t>
  </si>
  <si>
    <t xml:space="preserve">Tchmin</t>
  </si>
  <si>
    <t xml:space="preserve">Minimum charging time</t>
  </si>
  <si>
    <t xml:space="preserve">Ilimit_vset</t>
  </si>
  <si>
    <t xml:space="preserve">reference voltage for setting the current limit</t>
  </si>
  <si>
    <t xml:space="preserve">Ilimit_offset</t>
  </si>
  <si>
    <t xml:space="preserve">Offset at the Ilimit pin</t>
  </si>
  <si>
    <t xml:space="preserve">Thermal Shutdown Time Vs. Power Dissipation</t>
  </si>
  <si>
    <t xml:space="preserve">Title of Graph</t>
  </si>
  <si>
    <t xml:space="preserve">Power Dissipation </t>
  </si>
  <si>
    <r>
      <rPr>
        <b val="true"/>
        <sz val="10"/>
        <rFont val="Arial"/>
        <family val="2"/>
        <charset val="1"/>
      </rPr>
      <t xml:space="preserve"> T</t>
    </r>
    <r>
      <rPr>
        <b val="true"/>
        <vertAlign val="subscript"/>
        <sz val="10"/>
        <rFont val="Arial"/>
        <family val="2"/>
        <charset val="1"/>
      </rPr>
      <t xml:space="preserve">A</t>
    </r>
    <r>
      <rPr>
        <b val="true"/>
        <sz val="10"/>
        <rFont val="Arial"/>
        <family val="2"/>
        <charset val="1"/>
      </rPr>
      <t xml:space="preserve"> = -40</t>
    </r>
    <r>
      <rPr>
        <b val="true"/>
        <vertAlign val="superscript"/>
        <sz val="10"/>
        <rFont val="Arial"/>
        <family val="2"/>
        <charset val="1"/>
      </rPr>
      <t xml:space="preserve"> </t>
    </r>
    <r>
      <rPr>
        <b val="true"/>
        <sz val="10"/>
        <rFont val="Arial"/>
        <family val="2"/>
        <charset val="1"/>
      </rPr>
      <t xml:space="preserve">C</t>
    </r>
  </si>
  <si>
    <r>
      <rPr>
        <b val="true"/>
        <sz val="10"/>
        <rFont val="Arial"/>
        <family val="2"/>
        <charset val="1"/>
      </rPr>
      <t xml:space="preserve"> T</t>
    </r>
    <r>
      <rPr>
        <b val="true"/>
        <vertAlign val="subscript"/>
        <sz val="10"/>
        <rFont val="Arial"/>
        <family val="2"/>
        <charset val="1"/>
      </rPr>
      <t xml:space="preserve">A</t>
    </r>
    <r>
      <rPr>
        <b val="true"/>
        <sz val="10"/>
        <rFont val="Arial"/>
        <family val="2"/>
        <charset val="1"/>
      </rPr>
      <t xml:space="preserve"> = 25</t>
    </r>
    <r>
      <rPr>
        <b val="true"/>
        <vertAlign val="superscript"/>
        <sz val="10"/>
        <rFont val="Arial"/>
        <family val="2"/>
        <charset val="1"/>
      </rPr>
      <t xml:space="preserve"> </t>
    </r>
    <r>
      <rPr>
        <b val="true"/>
        <sz val="10"/>
        <rFont val="Arial"/>
        <family val="2"/>
        <charset val="1"/>
      </rPr>
      <t xml:space="preserve">C</t>
    </r>
  </si>
  <si>
    <r>
      <rPr>
        <b val="true"/>
        <sz val="10"/>
        <rFont val="Arial"/>
        <family val="2"/>
        <charset val="1"/>
      </rPr>
      <t xml:space="preserve"> T</t>
    </r>
    <r>
      <rPr>
        <b val="true"/>
        <vertAlign val="subscript"/>
        <sz val="10"/>
        <rFont val="Arial"/>
        <family val="2"/>
        <charset val="1"/>
      </rPr>
      <t xml:space="preserve">A</t>
    </r>
    <r>
      <rPr>
        <b val="true"/>
        <sz val="10"/>
        <rFont val="Arial"/>
        <family val="2"/>
        <charset val="1"/>
      </rPr>
      <t xml:space="preserve"> = 85</t>
    </r>
    <r>
      <rPr>
        <b val="true"/>
        <vertAlign val="superscript"/>
        <sz val="10"/>
        <rFont val="Arial"/>
        <family val="2"/>
        <charset val="1"/>
      </rPr>
      <t xml:space="preserve"> </t>
    </r>
    <r>
      <rPr>
        <b val="true"/>
        <sz val="10"/>
        <rFont val="Arial"/>
        <family val="2"/>
        <charset val="1"/>
      </rPr>
      <t xml:space="preserve">C</t>
    </r>
  </si>
  <si>
    <r>
      <rPr>
        <b val="true"/>
        <sz val="10"/>
        <rFont val="Arial"/>
        <family val="2"/>
        <charset val="1"/>
      </rPr>
      <t xml:space="preserve"> T</t>
    </r>
    <r>
      <rPr>
        <b val="true"/>
        <vertAlign val="subscript"/>
        <sz val="10"/>
        <rFont val="Arial"/>
        <family val="2"/>
        <charset val="1"/>
      </rPr>
      <t xml:space="preserve">A</t>
    </r>
    <r>
      <rPr>
        <b val="true"/>
        <sz val="10"/>
        <rFont val="Arial"/>
        <family val="2"/>
        <charset val="1"/>
      </rPr>
      <t xml:space="preserve"> = 125</t>
    </r>
    <r>
      <rPr>
        <b val="true"/>
        <vertAlign val="superscript"/>
        <sz val="10"/>
        <rFont val="Arial"/>
        <family val="2"/>
        <charset val="1"/>
      </rPr>
      <t xml:space="preserve"> </t>
    </r>
    <r>
      <rPr>
        <b val="true"/>
        <sz val="10"/>
        <rFont val="Arial"/>
        <family val="2"/>
        <charset val="1"/>
      </rPr>
      <t xml:space="preserve">C</t>
    </r>
  </si>
  <si>
    <t xml:space="preserve">E</t>
  </si>
  <si>
    <t xml:space="preserve">Lable</t>
  </si>
  <si>
    <t xml:space="preserve">X-Axis </t>
  </si>
  <si>
    <t xml:space="preserve"> Power Dissipation (W)</t>
  </si>
  <si>
    <t xml:space="preserve">E: Estimated</t>
  </si>
  <si>
    <t xml:space="preserve">A: Actual Measured</t>
  </si>
  <si>
    <t xml:space="preserve">Pd</t>
  </si>
  <si>
    <t xml:space="preserve">Tstart</t>
  </si>
  <si>
    <t xml:space="preserve">Standard EIA Decade Resistor Values</t>
  </si>
  <si>
    <t xml:space="preserve">0.5%, 0.25%, 0.1%</t>
  </si>
  <si>
    <t xml:space="preserve">E6</t>
  </si>
  <si>
    <t xml:space="preserve">E12</t>
  </si>
  <si>
    <t xml:space="preserve">E24</t>
  </si>
  <si>
    <t xml:space="preserve">E48</t>
  </si>
  <si>
    <t xml:space="preserve">E96</t>
  </si>
  <si>
    <t xml:space="preserve">E192</t>
  </si>
  <si>
    <t xml:space="preserve">End Values Required for Processing</t>
  </si>
  <si>
    <t xml:space="preserve">Standard Capacitor Values</t>
  </si>
  <si>
    <t xml:space="preserve">pF</t>
  </si>
  <si>
    <t xml:space="preserve">µF</t>
  </si>
  <si>
    <t xml:space="preserve">mF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</si>
</sst>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0"/>
    <numFmt numFmtId="166" formatCode="@"/>
    <numFmt numFmtId="167" formatCode="0%"/>
    <numFmt numFmtId="168" formatCode="0.0%"/>
    <numFmt numFmtId="169" formatCode="0.0"/>
    <numFmt numFmtId="170" formatCode="0"/>
  </numFmts>
  <fonts count="5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6"/>
      <name val="Arial"/>
      <family val="2"/>
      <charset val="1"/>
    </font>
    <font>
      <sz val="10"/>
      <name val="Arial"/>
      <family val="2"/>
      <charset val="1"/>
    </font>
    <font>
      <sz val="11"/>
      <name val="Calibri"/>
      <family val="2"/>
      <charset val="1"/>
    </font>
    <font>
      <b val="true"/>
      <sz val="11"/>
      <color theme="1"/>
      <name val="Calibri"/>
      <family val="2"/>
      <charset val="1"/>
    </font>
    <font>
      <b val="true"/>
      <vertAlign val="subscript"/>
      <sz val="11"/>
      <color theme="1"/>
      <name val="Calibri"/>
      <family val="2"/>
      <charset val="1"/>
    </font>
    <font>
      <b val="true"/>
      <sz val="9.35"/>
      <color theme="1"/>
      <name val="Calibri"/>
      <family val="2"/>
      <charset val="1"/>
    </font>
    <font>
      <b val="true"/>
      <sz val="12"/>
      <name val="Calibri"/>
      <family val="2"/>
      <charset val="1"/>
    </font>
    <font>
      <sz val="12"/>
      <name val="Calibri"/>
      <family val="2"/>
      <charset val="1"/>
    </font>
    <font>
      <i val="true"/>
      <sz val="11"/>
      <color theme="1"/>
      <name val="Calibri"/>
      <family val="2"/>
      <charset val="1"/>
    </font>
    <font>
      <i val="true"/>
      <sz val="16"/>
      <name val="Calibri"/>
      <family val="2"/>
      <charset val="1"/>
    </font>
    <font>
      <i val="true"/>
      <sz val="11"/>
      <name val="Calibri"/>
      <family val="2"/>
      <charset val="1"/>
    </font>
    <font>
      <sz val="8"/>
      <color theme="1"/>
      <name val="Calibri"/>
      <family val="2"/>
      <charset val="1"/>
    </font>
    <font>
      <b val="true"/>
      <sz val="14"/>
      <color theme="1"/>
      <name val="Calibri"/>
      <family val="2"/>
      <charset val="1"/>
    </font>
    <font>
      <b val="true"/>
      <sz val="14"/>
      <name val="Calibri"/>
      <family val="2"/>
      <charset val="1"/>
    </font>
    <font>
      <sz val="12"/>
      <color theme="1"/>
      <name val="Calibri"/>
      <family val="2"/>
      <charset val="1"/>
    </font>
    <font>
      <vertAlign val="subscript"/>
      <sz val="11"/>
      <color theme="1"/>
      <name val="Calibri"/>
      <family val="2"/>
      <charset val="1"/>
    </font>
    <font>
      <sz val="7"/>
      <color theme="1"/>
      <name val="Calibri"/>
      <family val="2"/>
      <charset val="1"/>
    </font>
    <font>
      <sz val="11"/>
      <color theme="0"/>
      <name val="Calibri"/>
      <family val="2"/>
      <charset val="1"/>
    </font>
    <font>
      <b val="true"/>
      <sz val="11"/>
      <color rgb="FFFF3300"/>
      <name val="Calibri"/>
      <family val="2"/>
      <charset val="1"/>
    </font>
    <font>
      <sz val="11"/>
      <color rgb="FFFF3300"/>
      <name val="Calibri"/>
      <family val="2"/>
      <charset val="1"/>
    </font>
    <font>
      <b val="true"/>
      <sz val="14"/>
      <color rgb="FFFF3300"/>
      <name val="Calibri"/>
      <family val="2"/>
      <charset val="1"/>
    </font>
    <font>
      <sz val="10"/>
      <color theme="1"/>
      <name val="Calibri"/>
      <family val="2"/>
      <charset val="1"/>
    </font>
    <font>
      <sz val="14"/>
      <color theme="1"/>
      <name val="Calibri"/>
      <family val="2"/>
      <charset val="1"/>
    </font>
    <font>
      <i val="true"/>
      <sz val="16"/>
      <color theme="1"/>
      <name val="Calibri"/>
      <family val="2"/>
      <charset val="1"/>
    </font>
    <font>
      <sz val="10"/>
      <name val="Symbol"/>
      <family val="1"/>
      <charset val="2"/>
    </font>
    <font>
      <sz val="12"/>
      <color rgb="FFFF0000"/>
      <name val="Calibri"/>
      <family val="2"/>
      <charset val="1"/>
    </font>
    <font>
      <sz val="10"/>
      <name val="Arial"/>
      <family val="2"/>
    </font>
    <font>
      <sz val="8"/>
      <color rgb="FF000000"/>
      <name val="Tahoma"/>
      <family val="2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9"/>
      <color rgb="FF000000"/>
      <name val="Calibri"/>
      <family val="2"/>
    </font>
    <font>
      <b val="true"/>
      <sz val="10"/>
      <name val="Arial"/>
      <family val="2"/>
      <charset val="1"/>
    </font>
    <font>
      <b val="true"/>
      <vertAlign val="subscript"/>
      <sz val="10"/>
      <name val="Arial"/>
      <family val="2"/>
      <charset val="1"/>
    </font>
    <font>
      <b val="true"/>
      <vertAlign val="superscript"/>
      <sz val="10"/>
      <name val="Arial"/>
      <family val="2"/>
      <charset val="1"/>
    </font>
    <font>
      <sz val="10.5"/>
      <name val="Calibri"/>
      <family val="2"/>
      <charset val="1"/>
    </font>
    <font>
      <sz val="10.5"/>
      <color rgb="FFFF0000"/>
      <name val="Calibri"/>
      <family val="2"/>
      <charset val="1"/>
    </font>
    <font>
      <sz val="10.5"/>
      <color rgb="FFFF3737"/>
      <name val="Calibri"/>
      <family val="2"/>
      <charset val="1"/>
    </font>
    <font>
      <sz val="10.5"/>
      <color theme="1"/>
      <name val="Calibri"/>
      <family val="2"/>
      <charset val="1"/>
    </font>
    <font>
      <b val="true"/>
      <sz val="10"/>
      <color rgb="FF000000"/>
      <name val="Calibri"/>
      <family val="2"/>
    </font>
    <font>
      <b val="true"/>
      <sz val="16"/>
      <color rgb="FF000000"/>
      <name val="Calibri"/>
      <family val="2"/>
    </font>
    <font>
      <b val="true"/>
      <sz val="14"/>
      <color rgb="FFFF0000"/>
      <name val="Calibri"/>
      <family val="0"/>
    </font>
    <font>
      <b val="true"/>
      <vertAlign val="superscript"/>
      <sz val="14"/>
      <color rgb="FFFF0000"/>
      <name val="Calibri"/>
      <family val="0"/>
    </font>
    <font>
      <b val="true"/>
      <sz val="16"/>
      <color theme="1"/>
      <name val="Calibri"/>
      <family val="2"/>
      <charset val="1"/>
    </font>
    <font>
      <u val="single"/>
      <sz val="20"/>
      <color theme="10"/>
      <name val="Calibri"/>
      <family val="2"/>
      <charset val="1"/>
    </font>
    <font>
      <u val="single"/>
      <sz val="11"/>
      <color theme="10"/>
      <name val="Calibri"/>
      <family val="2"/>
      <charset val="1"/>
    </font>
    <font>
      <b val="true"/>
      <sz val="8"/>
      <color rgb="FF333333"/>
      <name val="Arial"/>
      <family val="2"/>
      <charset val="1"/>
    </font>
    <font>
      <sz val="9"/>
      <color rgb="FF000000"/>
      <name val="Verdana"/>
      <family val="2"/>
      <charset val="1"/>
    </font>
  </fonts>
  <fills count="24">
    <fill>
      <patternFill patternType="none"/>
    </fill>
    <fill>
      <patternFill patternType="gray125"/>
    </fill>
    <fill>
      <patternFill patternType="solid">
        <fgColor rgb="FFC0C0C0"/>
        <bgColor rgb="FFB7B7B7"/>
      </patternFill>
    </fill>
    <fill>
      <patternFill patternType="solid">
        <fgColor rgb="FFFFFF99"/>
        <bgColor rgb="FFFFFFCC"/>
      </patternFill>
    </fill>
    <fill>
      <patternFill patternType="solid">
        <fgColor rgb="FF00FFFF"/>
        <bgColor rgb="FF00CCFF"/>
      </patternFill>
    </fill>
    <fill>
      <patternFill patternType="solid">
        <fgColor rgb="FF80FF7F"/>
        <bgColor rgb="FF92D050"/>
      </patternFill>
    </fill>
    <fill>
      <patternFill patternType="solid">
        <fgColor theme="8" tint="0.3999"/>
        <bgColor rgb="FFB9CDE5"/>
      </patternFill>
    </fill>
    <fill>
      <patternFill patternType="solid">
        <fgColor theme="8" tint="0.7999"/>
        <bgColor rgb="FFDAE7F6"/>
      </patternFill>
    </fill>
    <fill>
      <patternFill patternType="solid">
        <fgColor rgb="FFDAE7F6"/>
        <bgColor rgb="FFDCE6F2"/>
      </patternFill>
    </fill>
    <fill>
      <patternFill patternType="solid">
        <fgColor theme="9" tint="0.7999"/>
        <bgColor rgb="FFFFFFCC"/>
      </patternFill>
    </fill>
    <fill>
      <patternFill patternType="solid">
        <fgColor theme="4" tint="0.7999"/>
        <bgColor rgb="FFDAE7F6"/>
      </patternFill>
    </fill>
    <fill>
      <patternFill patternType="solid">
        <fgColor theme="3" tint="0.3999"/>
        <bgColor rgb="FF4A7EBB"/>
      </patternFill>
    </fill>
    <fill>
      <patternFill patternType="solid">
        <fgColor theme="2" tint="-0.1"/>
        <bgColor rgb="FFD9D9D9"/>
      </patternFill>
    </fill>
    <fill>
      <patternFill patternType="solid">
        <fgColor theme="3" tint="0.7999"/>
        <bgColor rgb="FFB9CDE5"/>
      </patternFill>
    </fill>
    <fill>
      <patternFill patternType="solid">
        <fgColor rgb="FFFFFF00"/>
        <bgColor rgb="FFFFFF99"/>
      </patternFill>
    </fill>
    <fill>
      <patternFill patternType="solid">
        <fgColor theme="6" tint="0.3999"/>
        <bgColor rgb="FFD7E4BD"/>
      </patternFill>
    </fill>
    <fill>
      <patternFill patternType="solid">
        <fgColor theme="9" tint="0.3999"/>
        <bgColor rgb="FFE6B9B8"/>
      </patternFill>
    </fill>
    <fill>
      <patternFill patternType="solid">
        <fgColor rgb="FF92D050"/>
        <bgColor rgb="FFC3D69B"/>
      </patternFill>
    </fill>
    <fill>
      <patternFill patternType="solid">
        <fgColor theme="5" tint="0.5999"/>
        <bgColor rgb="FFFAC090"/>
      </patternFill>
    </fill>
    <fill>
      <patternFill patternType="solid">
        <fgColor theme="2" tint="-0.25"/>
        <bgColor rgb="FFB7B7B7"/>
      </patternFill>
    </fill>
    <fill>
      <patternFill patternType="solid">
        <fgColor theme="6" tint="0.5999"/>
        <bgColor rgb="FFDDD9C3"/>
      </patternFill>
    </fill>
    <fill>
      <patternFill patternType="solid">
        <fgColor theme="7" tint="0.5999"/>
        <bgColor rgb="FFC0C0C0"/>
      </patternFill>
    </fill>
    <fill>
      <patternFill patternType="solid">
        <fgColor theme="4" tint="0.5999"/>
        <bgColor rgb="FFC6D9F1"/>
      </patternFill>
    </fill>
    <fill>
      <patternFill patternType="solid">
        <fgColor rgb="FFFFFFCC"/>
        <bgColor rgb="FFFDEADA"/>
      </patternFill>
    </fill>
  </fills>
  <borders count="1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/>
      <top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8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7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0" fillId="0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5" fontId="0" fillId="0" borderId="0" xfId="0" applyFont="true" applyBorder="false" applyAlignment="true" applyProtection="true">
      <alignment horizontal="right" vertical="center" textRotation="0" wrapText="false" indent="1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5" fillId="2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3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5" fillId="4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5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6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6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6" fillId="6" borderId="3" xfId="0" applyFont="true" applyBorder="true" applyAlignment="true" applyProtection="true">
      <alignment horizontal="right" vertical="center" textRotation="0" wrapText="false" indent="1" shrinkToFit="false"/>
      <protection locked="true" hidden="false"/>
    </xf>
    <xf numFmtId="164" fontId="6" fillId="6" borderId="4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6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6" fontId="10" fillId="3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6" fillId="6" borderId="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6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1" fillId="3" borderId="1" xfId="0" applyFont="true" applyBorder="true" applyAlignment="true" applyProtection="true">
      <alignment horizontal="right" vertical="center" textRotation="0" wrapText="false" indent="1" shrinkToFit="false"/>
      <protection locked="true" hidden="false"/>
    </xf>
    <xf numFmtId="164" fontId="0" fillId="7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0" fillId="7" borderId="7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11" fillId="3" borderId="1" xfId="0" applyFont="true" applyBorder="true" applyAlignment="true" applyProtection="true">
      <alignment horizontal="right" vertical="center" textRotation="0" wrapText="false" indent="1" shrinkToFit="false"/>
      <protection locked="true" hidden="false"/>
    </xf>
    <xf numFmtId="168" fontId="0" fillId="3" borderId="7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3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8" fontId="0" fillId="7" borderId="8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5" borderId="9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5" borderId="9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11" fillId="5" borderId="10" xfId="0" applyFont="true" applyBorder="true" applyAlignment="true" applyProtection="true">
      <alignment horizontal="right" vertical="center" textRotation="0" wrapText="false" indent="1" shrinkToFit="false"/>
      <protection locked="true" hidden="false"/>
    </xf>
    <xf numFmtId="164" fontId="0" fillId="7" borderId="1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8" fontId="0" fillId="7" borderId="11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4" fillId="6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14" fillId="6" borderId="1" xfId="0" applyFont="true" applyBorder="true" applyAlignment="true" applyProtection="true">
      <alignment horizontal="right" vertical="center" textRotation="0" wrapText="true" indent="1" shrinkToFit="false"/>
      <protection locked="true" hidden="false"/>
    </xf>
    <xf numFmtId="164" fontId="14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0" fillId="3" borderId="1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8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8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9" fontId="11" fillId="4" borderId="1" xfId="0" applyFont="true" applyBorder="true" applyAlignment="true" applyProtection="true">
      <alignment horizontal="right" vertical="center" textRotation="0" wrapText="false" indent="1" shrinkToFit="false"/>
      <protection locked="true" hidden="false"/>
    </xf>
    <xf numFmtId="164" fontId="6" fillId="7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8" fontId="6" fillId="7" borderId="1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11" fillId="9" borderId="1" xfId="0" applyFont="true" applyBorder="true" applyAlignment="true" applyProtection="true">
      <alignment horizontal="right" vertical="center" textRotation="0" wrapText="false" indent="1" shrinkToFit="false"/>
      <protection locked="true" hidden="false"/>
    </xf>
    <xf numFmtId="165" fontId="11" fillId="7" borderId="1" xfId="0" applyFont="true" applyBorder="true" applyAlignment="true" applyProtection="true">
      <alignment horizontal="right" vertical="center" textRotation="0" wrapText="false" indent="1" shrinkToFit="false"/>
      <protection locked="true" hidden="false"/>
    </xf>
    <xf numFmtId="168" fontId="11" fillId="7" borderId="1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5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5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11" fillId="5" borderId="1" xfId="0" applyFont="true" applyBorder="true" applyAlignment="true" applyProtection="true">
      <alignment horizontal="right" vertical="center" textRotation="0" wrapText="false" indent="1" shrinkToFit="false"/>
      <protection locked="true" hidden="false"/>
    </xf>
    <xf numFmtId="168" fontId="6" fillId="5" borderId="1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6" fillId="1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6" fillId="1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17" fillId="4" borderId="1" xfId="0" applyFont="true" applyBorder="true" applyAlignment="true" applyProtection="true">
      <alignment horizontal="right" vertical="center" textRotation="0" wrapText="false" indent="1" shrinkToFit="false"/>
      <protection locked="true" hidden="false"/>
    </xf>
    <xf numFmtId="164" fontId="17" fillId="7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8" fontId="17" fillId="4" borderId="1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8" fillId="1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8" fillId="1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11" fillId="4" borderId="1" xfId="0" applyFont="true" applyBorder="true" applyAlignment="true" applyProtection="true">
      <alignment horizontal="right" vertical="center" textRotation="0" wrapText="false" indent="1" shrinkToFit="false"/>
      <protection locked="true" hidden="false"/>
    </xf>
    <xf numFmtId="164" fontId="11" fillId="7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8" fontId="11" fillId="4" borderId="1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1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1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true">
      <alignment horizontal="right" vertical="center" textRotation="0" wrapText="false" indent="1" shrinkToFit="false"/>
      <protection locked="true" hidden="false"/>
    </xf>
    <xf numFmtId="164" fontId="13" fillId="6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8" fontId="0" fillId="7" borderId="1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18" fillId="9" borderId="1" xfId="0" applyFont="true" applyBorder="true" applyAlignment="true" applyProtection="true">
      <alignment horizontal="right" vertical="center" textRotation="0" wrapText="false" indent="1" shrinkToFit="false"/>
      <protection locked="true" hidden="false"/>
    </xf>
    <xf numFmtId="165" fontId="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6" fillId="8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6" fillId="8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6" fillId="7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16" fillId="4" borderId="1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6" fillId="4" borderId="1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1" fillId="11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1" fillId="11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21" fillId="11" borderId="1" xfId="0" applyFont="true" applyBorder="true" applyAlignment="true" applyProtection="true">
      <alignment horizontal="right" vertical="center" textRotation="0" wrapText="false" indent="1" shrinkToFit="false"/>
      <protection locked="true" hidden="false"/>
    </xf>
    <xf numFmtId="164" fontId="21" fillId="11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11" fillId="12" borderId="1" xfId="0" applyFont="true" applyBorder="true" applyAlignment="true" applyProtection="true">
      <alignment horizontal="right" vertical="center" textRotation="0" wrapText="false" indent="1" shrinkToFit="false"/>
      <protection locked="true" hidden="false"/>
    </xf>
    <xf numFmtId="168" fontId="11" fillId="12" borderId="1" xfId="19" applyFont="true" applyBorder="true" applyAlignment="true" applyProtection="true">
      <alignment horizontal="right" vertical="center" textRotation="0" wrapText="false" indent="1" shrinkToFit="false"/>
      <protection locked="true" hidden="false"/>
    </xf>
    <xf numFmtId="165" fontId="2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8" fillId="4" borderId="1" xfId="0" applyFont="true" applyBorder="true" applyAlignment="true" applyProtection="true">
      <alignment horizontal="right" vertical="center" textRotation="0" wrapText="false" indent="1" shrinkToFit="false"/>
      <protection locked="true" hidden="false"/>
    </xf>
    <xf numFmtId="168" fontId="6" fillId="3" borderId="1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10" fillId="4" borderId="1" xfId="0" applyFont="true" applyBorder="true" applyAlignment="true" applyProtection="true">
      <alignment horizontal="right" vertical="center" textRotation="0" wrapText="false" indent="1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2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1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1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6" fillId="1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13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9" fontId="11" fillId="12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0" fontId="11" fillId="12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8" fillId="7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28" fillId="7" borderId="1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1" fillId="12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29" fillId="12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5" fillId="0" borderId="12" xfId="0" applyFont="true" applyBorder="true" applyAlignment="true" applyProtection="true">
      <alignment horizontal="left" vertical="bottom" textRotation="0" wrapText="false" indent="1" shrinkToFit="false"/>
      <protection locked="false" hidden="false"/>
    </xf>
    <xf numFmtId="164" fontId="35" fillId="0" borderId="12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1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5" fillId="0" borderId="1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35" fillId="0" borderId="1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0" borderId="0" xfId="0" applyFont="false" applyBorder="false" applyAlignment="true" applyProtection="false">
      <alignment horizontal="left" vertical="bottom" textRotation="0" wrapText="false" indent="1" shrinkToFit="false"/>
      <protection locked="true" hidden="false"/>
    </xf>
    <xf numFmtId="164" fontId="5" fillId="15" borderId="0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35" fillId="15" borderId="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1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15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4" fontId="0" fillId="17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0" fontId="0" fillId="15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18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9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3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1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18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19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2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22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21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9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7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9" fillId="2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dxfs count="2">
    <dxf>
      <fill>
        <patternFill>
          <bgColor rgb="FF92D050"/>
        </patternFill>
      </fill>
    </dxf>
    <dxf>
      <fill>
        <patternFill>
          <bgColor rgb="FFFF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FDEADA"/>
      <rgbColor rgb="FF800080"/>
      <rgbColor rgb="FF008080"/>
      <rgbColor rgb="FFC0C0C0"/>
      <rgbColor rgb="FF878787"/>
      <rgbColor rgb="FFB9CDE5"/>
      <rgbColor rgb="FFFF3737"/>
      <rgbColor rgb="FFFFFFCC"/>
      <rgbColor rgb="FFDBEEF4"/>
      <rgbColor rgb="FF660066"/>
      <rgbColor rgb="FFC4BD97"/>
      <rgbColor rgb="FF0066CC"/>
      <rgbColor rgb="FFC6D9F1"/>
      <rgbColor rgb="FF000080"/>
      <rgbColor rgb="FFFF00FF"/>
      <rgbColor rgb="FFDDD9C3"/>
      <rgbColor rgb="FFDCE6F2"/>
      <rgbColor rgb="FF800080"/>
      <rgbColor rgb="FF800000"/>
      <rgbColor rgb="FF008080"/>
      <rgbColor rgb="FF0000FF"/>
      <rgbColor rgb="FF00CCFF"/>
      <rgbColor rgb="FFDAE7F6"/>
      <rgbColor rgb="FFD7E4BD"/>
      <rgbColor rgb="FFFFFF99"/>
      <rgbColor rgb="FF93CDDD"/>
      <rgbColor rgb="FFE6B9B8"/>
      <rgbColor rgb="FFCCC1DA"/>
      <rgbColor rgb="FFFAC090"/>
      <rgbColor rgb="FF558ED5"/>
      <rgbColor rgb="FF80FF7F"/>
      <rgbColor rgb="FF92D050"/>
      <rgbColor rgb="FFC3D69B"/>
      <rgbColor rgb="FFD9D9D9"/>
      <rgbColor rgb="FFFF3300"/>
      <rgbColor rgb="FF4A7EBB"/>
      <rgbColor rgb="FFB7B7B7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VIN</a:t>
            </a: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 Thresholds Progm'd</a:t>
            </a:r>
          </a:p>
        </c:rich>
      </c:tx>
      <c:layout>
        <c:manualLayout>
          <c:xMode val="edge"/>
          <c:yMode val="edge"/>
          <c:x val="0.110103273045189"/>
          <c:y val="0.705872622001654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84968034533632"/>
          <c:y val="0.0473118279569892"/>
          <c:w val="0.890716354297579"/>
          <c:h val="0.828949545078577"/>
        </c:manualLayout>
      </c:layout>
      <c:lineChart>
        <c:grouping val="standard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dLbls>
            <c:numFmt formatCode="0.00" sourceLinked="1"/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'Calculation Sheet'!$K$15:$K$17</c:f>
              <c:strCache>
                <c:ptCount val="3"/>
                <c:pt idx="0">
                  <c:v>Power Fail 
(VIN Falling)</c:v>
                </c:pt>
                <c:pt idx="1">
                  <c:v>Release UVLO (VIN Rising)</c:v>
                </c:pt>
                <c:pt idx="2">
                  <c:v>OV Clamp
(VIN Rising)</c:v>
                </c:pt>
              </c:strCache>
            </c:strRef>
          </c:cat>
          <c:val>
            <c:numRef>
              <c:f>'Calculation Sheet'!$J$15:$J$16</c:f>
              <c:numCache>
                <c:formatCode>0.00</c:formatCode>
                <c:ptCount val="2"/>
                <c:pt idx="0">
                  <c:v>3.99187866927593</c:v>
                </c:pt>
                <c:pt idx="1">
                  <c:v>4.13972602739726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1854447"/>
        <c:axId val="95683188"/>
      </c:lineChart>
      <c:catAx>
        <c:axId val="1854447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minorGridlines>
          <c:spPr>
            <a:ln w="9360">
              <a:solidFill>
                <a:srgbClr val="B7B7B7"/>
              </a:solidFill>
              <a:round/>
            </a:ln>
          </c:spPr>
        </c:min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900" b="1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5683188"/>
        <c:crosses val="autoZero"/>
        <c:auto val="1"/>
        <c:lblAlgn val="ctr"/>
        <c:lblOffset val="100"/>
        <c:noMultiLvlLbl val="0"/>
      </c:catAx>
      <c:valAx>
        <c:axId val="9568318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854447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Current Limits Progm'd</a:t>
            </a:r>
          </a:p>
        </c:rich>
      </c:tx>
      <c:layout>
        <c:manualLayout>
          <c:xMode val="edge"/>
          <c:yMode val="edge"/>
          <c:x val="0.0893393803617289"/>
          <c:y val="0.0402268297005139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930550243156112"/>
          <c:y val="0.0634414318624845"/>
          <c:w val="0.87629091306486"/>
          <c:h val="0.740740740740741"/>
        </c:manualLayout>
      </c:layout>
      <c:lineChart>
        <c:grouping val="standard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dLbls>
            <c:numFmt formatCode="0.00" sourceLinked="1"/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'Calculation Sheet'!$K$24:$K$26</c:f>
              <c:strCache>
                <c:ptCount val="3"/>
                <c:pt idx="0">
                  <c:v>Inrush Charging 
Current</c:v>
                </c:pt>
                <c:pt idx="1">
                  <c:v>Overload Curr
Limit</c:v>
                </c:pt>
                <c:pt idx="2">
                  <c:v>Fastrip Curr
Limit</c:v>
                </c:pt>
              </c:strCache>
            </c:strRef>
          </c:cat>
          <c:val>
            <c:numRef>
              <c:f>'Calculation Sheet'!$J$24:$J$26</c:f>
              <c:numCache>
                <c:formatCode>0.00</c:formatCode>
                <c:ptCount val="3"/>
                <c:pt idx="0">
                  <c:v>0.152428571428571</c:v>
                </c:pt>
                <c:pt idx="1">
                  <c:v>0.9661</c:v>
                </c:pt>
                <c:pt idx="2">
                  <c:v>1.54576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60163010"/>
        <c:axId val="4556784"/>
      </c:lineChart>
      <c:catAx>
        <c:axId val="60163010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minorGridlines>
          <c:spPr>
            <a:ln w="9360">
              <a:solidFill>
                <a:srgbClr val="B7B7B7"/>
              </a:solidFill>
              <a:round/>
            </a:ln>
          </c:spPr>
        </c:min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900" b="1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556784"/>
        <c:crosses val="autoZero"/>
        <c:auto val="1"/>
        <c:lblAlgn val="ctr"/>
        <c:lblOffset val="100"/>
        <c:noMultiLvlLbl val="0"/>
      </c:catAx>
      <c:valAx>
        <c:axId val="455678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0163010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Thermal Shutdown Time Vs. Power Dissipation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2911962001583"/>
          <c:y val="0.0726860087100534"/>
          <c:w val="0.732052831132036"/>
          <c:h val="0.70851990431209"/>
        </c:manualLayout>
      </c:layout>
      <c:scatterChart>
        <c:scatterStyle val="lineMarker"/>
        <c:varyColors val="0"/>
        <c:ser>
          <c:idx val="0"/>
          <c:order val="0"/>
          <c:tx>
            <c:strRef>
              <c:f>"Calculated Point"</c:f>
              <c:strCache>
                <c:ptCount val="1"/>
                <c:pt idx="0">
                  <c:v>Calculated Point</c:v>
                </c:pt>
              </c:strCache>
            </c:strRef>
          </c:tx>
          <c:spPr>
            <a:solidFill>
              <a:srgbClr val="00FFFF"/>
            </a:solidFill>
            <a:ln cap="sq" w="12600">
              <a:solidFill>
                <a:srgbClr val="00FFFF"/>
              </a:solidFill>
              <a:round/>
            </a:ln>
          </c:spPr>
          <c:marker>
            <c:symbol val="square"/>
            <c:size val="15"/>
            <c:spPr>
              <a:solidFill>
                <a:srgbClr val="00FFFF"/>
              </a:solidFill>
            </c:spPr>
          </c:marker>
          <c:dPt>
            <c:idx val="0"/>
            <c:marker>
              <c:symbol val="square"/>
              <c:size val="15"/>
              <c:spPr>
                <a:solidFill>
                  <a:srgbClr val="00FFFF"/>
                </a:solidFill>
              </c:spPr>
            </c:marker>
          </c:dPt>
          <c:dLbls>
            <c:dLbl>
              <c:idx val="0"/>
              <c:layout>
                <c:manualLayout>
                  <c:x val="-0.215149953413209"/>
                  <c:y val="0.00406310383286592"/>
                </c:manualLayout>
              </c:layout>
              <c:numFmt formatCode="0.00" sourceLinked="1"/>
              <c:spPr>
                <a:solidFill>
                  <a:srgbClr val="FFFF00"/>
                </a:solidFill>
              </c:spPr>
              <c:txPr>
                <a:bodyPr wrap="square"/>
                <a:lstStyle/>
                <a:p>
                  <a:pPr>
                    <a:defRPr sz="1000" b="1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1"/>
              <c:showCatName val="1"/>
              <c:showSerName val="1"/>
              <c:showPercent val="0"/>
              <c:separator>; </c:separator>
            </c:dLbl>
            <c:numFmt formatCode="0.00" sourceLinked="1"/>
            <c:spPr>
              <a:solidFill>
                <a:srgbClr val="FFFF00"/>
              </a:solidFill>
            </c:spPr>
            <c:txPr>
              <a:bodyPr wrap="square"/>
              <a:lstStyle/>
              <a:p>
                <a:pPr>
                  <a:defRPr sz="1000" b="1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1"/>
            <c:showCatName val="1"/>
            <c:showSerName val="1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'Thermal Shutdown Limit Plot'!$B$34:$B$35</c:f>
              <c:numCache>
                <c:formatCode>0.00</c:formatCode>
                <c:ptCount val="2"/>
                <c:pt idx="0">
                  <c:v>1.4227380952381</c:v>
                </c:pt>
              </c:numCache>
            </c:numRef>
          </c:xVal>
          <c:yVal>
            <c:numRef>
              <c:f>'Thermal Shutdown Limit Plot'!$C$34:$C$35</c:f>
              <c:numCache>
                <c:formatCode>0.00</c:formatCode>
                <c:ptCount val="2"/>
              </c:numCache>
            </c:numRef>
          </c:yVal>
          <c:smooth val="0"/>
        </c:ser>
        <c:ser>
          <c:idx val="1"/>
          <c:order val="1"/>
          <c:tx>
            <c:strRef>
              <c:f>'Thermal Shutdown Limit Plot'!$B$2</c:f>
              <c:strCache>
                <c:ptCount val="1"/>
                <c:pt idx="0">
                  <c:v> TA = -40 C</c:v>
                </c:pt>
              </c:strCache>
            </c:strRef>
          </c:tx>
          <c:spPr>
            <a:solidFill>
              <a:srgbClr val="4A7EBB"/>
            </a:solidFill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4752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'Thermal Shutdown Limit Plot'!$A$7:$A$28</c:f>
              <c:numCache>
                <c:formatCode>General</c:formatCode>
                <c:ptCount val="22"/>
                <c:pt idx="0">
                  <c:v>2.06</c:v>
                </c:pt>
                <c:pt idx="1">
                  <c:v>2.14</c:v>
                </c:pt>
                <c:pt idx="2">
                  <c:v>2.25</c:v>
                </c:pt>
                <c:pt idx="3">
                  <c:v>2.41</c:v>
                </c:pt>
                <c:pt idx="4">
                  <c:v>2.57</c:v>
                </c:pt>
                <c:pt idx="5">
                  <c:v>2.74</c:v>
                </c:pt>
                <c:pt idx="6">
                  <c:v>2.87</c:v>
                </c:pt>
                <c:pt idx="7">
                  <c:v>3.03</c:v>
                </c:pt>
                <c:pt idx="8">
                  <c:v>3.2</c:v>
                </c:pt>
                <c:pt idx="9">
                  <c:v>3.33</c:v>
                </c:pt>
                <c:pt idx="10">
                  <c:v>5</c:v>
                </c:pt>
                <c:pt idx="11">
                  <c:v>7.3</c:v>
                </c:pt>
                <c:pt idx="12">
                  <c:v>7.8</c:v>
                </c:pt>
                <c:pt idx="13">
                  <c:v>10</c:v>
                </c:pt>
                <c:pt idx="14">
                  <c:v>15</c:v>
                </c:pt>
                <c:pt idx="15">
                  <c:v>20</c:v>
                </c:pt>
                <c:pt idx="16">
                  <c:v>25</c:v>
                </c:pt>
                <c:pt idx="17">
                  <c:v>30</c:v>
                </c:pt>
                <c:pt idx="18">
                  <c:v>35</c:v>
                </c:pt>
                <c:pt idx="19">
                  <c:v>40</c:v>
                </c:pt>
                <c:pt idx="20">
                  <c:v>45</c:v>
                </c:pt>
                <c:pt idx="21">
                  <c:v>52</c:v>
                </c:pt>
              </c:numCache>
            </c:numRef>
          </c:xVal>
          <c:yVal>
            <c:numRef>
              <c:f>'Thermal Shutdown Limit Plot'!$B$7:$B$28,'Thermal Shutdown Limit Plot'!$B$34</c:f>
              <c:numCache>
                <c:formatCode>0</c:formatCode>
                <c:ptCount val="23"/>
                <c:pt idx="12">
                  <c:v>9357</c:v>
                </c:pt>
                <c:pt idx="13">
                  <c:v>867</c:v>
                </c:pt>
                <c:pt idx="14">
                  <c:v>101</c:v>
                </c:pt>
                <c:pt idx="15">
                  <c:v>32.7</c:v>
                </c:pt>
                <c:pt idx="16">
                  <c:v>17.18</c:v>
                </c:pt>
                <c:pt idx="17">
                  <c:v>10.86</c:v>
                </c:pt>
                <c:pt idx="18">
                  <c:v>5.96</c:v>
                </c:pt>
                <c:pt idx="19">
                  <c:v>4.6315</c:v>
                </c:pt>
                <c:pt idx="20">
                  <c:v>3.18</c:v>
                </c:pt>
                <c:pt idx="21">
                  <c:v>2.26</c:v>
                </c:pt>
                <c:pt idx="22">
                  <c:v>1.4227380952381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'Thermal Shutdown Limit Plot'!$C$2</c:f>
              <c:strCache>
                <c:ptCount val="1"/>
                <c:pt idx="0">
                  <c:v> TA = 25 C</c:v>
                </c:pt>
              </c:strCache>
            </c:strRef>
          </c:tx>
          <c:spPr>
            <a:solidFill>
              <a:srgbClr val="00B050"/>
            </a:solidFill>
            <a:ln w="12600">
              <a:solidFill>
                <a:srgbClr val="00B05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'Thermal Shutdown Limit Plot'!$A$7:$A$28</c:f>
              <c:numCache>
                <c:formatCode>General</c:formatCode>
                <c:ptCount val="22"/>
                <c:pt idx="0">
                  <c:v>2.06</c:v>
                </c:pt>
                <c:pt idx="1">
                  <c:v>2.14</c:v>
                </c:pt>
                <c:pt idx="2">
                  <c:v>2.25</c:v>
                </c:pt>
                <c:pt idx="3">
                  <c:v>2.41</c:v>
                </c:pt>
                <c:pt idx="4">
                  <c:v>2.57</c:v>
                </c:pt>
                <c:pt idx="5">
                  <c:v>2.74</c:v>
                </c:pt>
                <c:pt idx="6">
                  <c:v>2.87</c:v>
                </c:pt>
                <c:pt idx="7">
                  <c:v>3.03</c:v>
                </c:pt>
                <c:pt idx="8">
                  <c:v>3.2</c:v>
                </c:pt>
                <c:pt idx="9">
                  <c:v>3.33</c:v>
                </c:pt>
                <c:pt idx="10">
                  <c:v>5</c:v>
                </c:pt>
                <c:pt idx="11">
                  <c:v>7.3</c:v>
                </c:pt>
                <c:pt idx="12">
                  <c:v>7.8</c:v>
                </c:pt>
                <c:pt idx="13">
                  <c:v>10</c:v>
                </c:pt>
                <c:pt idx="14">
                  <c:v>15</c:v>
                </c:pt>
                <c:pt idx="15">
                  <c:v>20</c:v>
                </c:pt>
                <c:pt idx="16">
                  <c:v>25</c:v>
                </c:pt>
                <c:pt idx="17">
                  <c:v>30</c:v>
                </c:pt>
                <c:pt idx="18">
                  <c:v>35</c:v>
                </c:pt>
                <c:pt idx="19">
                  <c:v>40</c:v>
                </c:pt>
                <c:pt idx="20">
                  <c:v>45</c:v>
                </c:pt>
                <c:pt idx="21">
                  <c:v>52</c:v>
                </c:pt>
              </c:numCache>
            </c:numRef>
          </c:xVal>
          <c:yVal>
            <c:numRef>
              <c:f>'Thermal Shutdown Limit Plot'!$C$7:$C$28,'Thermal Shutdown Limit Plot'!$C$34</c:f>
              <c:numCache>
                <c:formatCode>General</c:formatCode>
                <c:ptCount val="23"/>
                <c:pt idx="8">
                  <c:v>13698</c:v>
                </c:pt>
                <c:pt idx="9">
                  <c:v>9564</c:v>
                </c:pt>
                <c:pt idx="10">
                  <c:v>1096</c:v>
                </c:pt>
                <c:pt idx="11">
                  <c:v>208</c:v>
                </c:pt>
                <c:pt idx="12">
                  <c:v>160</c:v>
                </c:pt>
                <c:pt idx="13">
                  <c:v>76.5</c:v>
                </c:pt>
                <c:pt idx="14">
                  <c:v>19.44</c:v>
                </c:pt>
                <c:pt idx="15">
                  <c:v>9.33</c:v>
                </c:pt>
                <c:pt idx="16">
                  <c:v>4.47</c:v>
                </c:pt>
                <c:pt idx="17">
                  <c:v>2.73</c:v>
                </c:pt>
                <c:pt idx="18">
                  <c:v>2</c:v>
                </c:pt>
                <c:pt idx="19">
                  <c:v>1.78</c:v>
                </c:pt>
                <c:pt idx="20">
                  <c:v>1.36</c:v>
                </c:pt>
                <c:pt idx="21">
                  <c:v>1</c:v>
                </c:pt>
              </c:numCache>
            </c:numRef>
          </c:yVal>
          <c:smooth val="0"/>
        </c:ser>
        <c:axId val="8505271"/>
        <c:axId val="24947134"/>
      </c:scatterChart>
      <c:scatterChart>
        <c:scatterStyle val="lineMarker"/>
        <c:varyColors val="0"/>
        <c:ser>
          <c:idx val="3"/>
          <c:order val="3"/>
          <c:tx>
            <c:strRef>
              <c:f>'Thermal Shutdown Limit Plot'!$D$2</c:f>
              <c:strCache>
                <c:ptCount val="1"/>
                <c:pt idx="0">
                  <c:v> TA = 85 C</c:v>
                </c:pt>
              </c:strCache>
            </c:strRef>
          </c:tx>
          <c:spPr>
            <a:solidFill>
              <a:srgbClr val="C00000"/>
            </a:solidFill>
            <a:ln w="1260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'Thermal Shutdown Limit Plot'!$A$7:$A$28</c:f>
              <c:numCache>
                <c:formatCode>General</c:formatCode>
                <c:ptCount val="22"/>
                <c:pt idx="0">
                  <c:v>2.06</c:v>
                </c:pt>
                <c:pt idx="1">
                  <c:v>2.14</c:v>
                </c:pt>
                <c:pt idx="2">
                  <c:v>2.25</c:v>
                </c:pt>
                <c:pt idx="3">
                  <c:v>2.41</c:v>
                </c:pt>
                <c:pt idx="4">
                  <c:v>2.57</c:v>
                </c:pt>
                <c:pt idx="5">
                  <c:v>2.74</c:v>
                </c:pt>
                <c:pt idx="6">
                  <c:v>2.87</c:v>
                </c:pt>
                <c:pt idx="7">
                  <c:v>3.03</c:v>
                </c:pt>
                <c:pt idx="8">
                  <c:v>3.2</c:v>
                </c:pt>
                <c:pt idx="9">
                  <c:v>3.33</c:v>
                </c:pt>
                <c:pt idx="10">
                  <c:v>5</c:v>
                </c:pt>
                <c:pt idx="11">
                  <c:v>7.3</c:v>
                </c:pt>
                <c:pt idx="12">
                  <c:v>7.8</c:v>
                </c:pt>
                <c:pt idx="13">
                  <c:v>10</c:v>
                </c:pt>
                <c:pt idx="14">
                  <c:v>15</c:v>
                </c:pt>
                <c:pt idx="15">
                  <c:v>20</c:v>
                </c:pt>
                <c:pt idx="16">
                  <c:v>25</c:v>
                </c:pt>
                <c:pt idx="17">
                  <c:v>30</c:v>
                </c:pt>
                <c:pt idx="18">
                  <c:v>35</c:v>
                </c:pt>
                <c:pt idx="19">
                  <c:v>40</c:v>
                </c:pt>
                <c:pt idx="20">
                  <c:v>45</c:v>
                </c:pt>
                <c:pt idx="21">
                  <c:v>52</c:v>
                </c:pt>
              </c:numCache>
            </c:numRef>
          </c:xVal>
          <c:yVal>
            <c:numRef>
              <c:f>'Thermal Shutdown Limit Plot'!$D$7:$D$28</c:f>
              <c:numCache>
                <c:formatCode>General</c:formatCode>
                <c:ptCount val="22"/>
                <c:pt idx="0">
                  <c:v>12185</c:v>
                </c:pt>
                <c:pt idx="1">
                  <c:v>10225</c:v>
                </c:pt>
                <c:pt idx="2">
                  <c:v>4228</c:v>
                </c:pt>
                <c:pt idx="3">
                  <c:v>3248</c:v>
                </c:pt>
                <c:pt idx="4">
                  <c:v>2011</c:v>
                </c:pt>
                <c:pt idx="5">
                  <c:v>1226</c:v>
                </c:pt>
                <c:pt idx="6">
                  <c:v>829</c:v>
                </c:pt>
                <c:pt idx="7">
                  <c:v>516</c:v>
                </c:pt>
                <c:pt idx="8">
                  <c:v>459</c:v>
                </c:pt>
                <c:pt idx="9">
                  <c:v>428</c:v>
                </c:pt>
                <c:pt idx="10">
                  <c:v>91</c:v>
                </c:pt>
                <c:pt idx="11">
                  <c:v>22</c:v>
                </c:pt>
                <c:pt idx="12">
                  <c:v>18</c:v>
                </c:pt>
                <c:pt idx="13">
                  <c:v>9.85</c:v>
                </c:pt>
                <c:pt idx="14">
                  <c:v>3.03</c:v>
                </c:pt>
                <c:pt idx="15">
                  <c:v>1.72</c:v>
                </c:pt>
                <c:pt idx="16">
                  <c:v>1.19</c:v>
                </c:pt>
                <c:pt idx="17">
                  <c:v>0.88</c:v>
                </c:pt>
                <c:pt idx="18">
                  <c:v>0.7</c:v>
                </c:pt>
                <c:pt idx="19">
                  <c:v>0.611</c:v>
                </c:pt>
                <c:pt idx="20">
                  <c:v>0.485</c:v>
                </c:pt>
                <c:pt idx="21">
                  <c:v>0.4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'Thermal Shutdown Limit Plot'!$E$2</c:f>
              <c:strCache>
                <c:ptCount val="1"/>
                <c:pt idx="0">
                  <c:v> TA = 125 C</c:v>
                </c:pt>
              </c:strCache>
            </c:strRef>
          </c:tx>
          <c:spPr>
            <a:solidFill>
              <a:srgbClr val="FF3300"/>
            </a:solidFill>
            <a:ln w="12600">
              <a:solidFill>
                <a:srgbClr val="FF33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'Thermal Shutdown Limit Plot'!$A$3:$A$28</c:f>
              <c:numCache>
                <c:formatCode>General</c:formatCode>
                <c:ptCount val="26"/>
                <c:pt idx="0">
                  <c:v>0.6</c:v>
                </c:pt>
                <c:pt idx="1">
                  <c:v>0.71</c:v>
                </c:pt>
                <c:pt idx="2">
                  <c:v>0.78</c:v>
                </c:pt>
                <c:pt idx="3">
                  <c:v>1.5</c:v>
                </c:pt>
                <c:pt idx="4">
                  <c:v>2.06</c:v>
                </c:pt>
                <c:pt idx="5">
                  <c:v>2.14</c:v>
                </c:pt>
                <c:pt idx="6">
                  <c:v>2.25</c:v>
                </c:pt>
                <c:pt idx="7">
                  <c:v>2.41</c:v>
                </c:pt>
                <c:pt idx="8">
                  <c:v>2.57</c:v>
                </c:pt>
                <c:pt idx="9">
                  <c:v>2.74</c:v>
                </c:pt>
                <c:pt idx="10">
                  <c:v>2.87</c:v>
                </c:pt>
                <c:pt idx="11">
                  <c:v>3.03</c:v>
                </c:pt>
                <c:pt idx="12">
                  <c:v>3.2</c:v>
                </c:pt>
                <c:pt idx="13">
                  <c:v>3.33</c:v>
                </c:pt>
                <c:pt idx="14">
                  <c:v>5</c:v>
                </c:pt>
                <c:pt idx="15">
                  <c:v>7.3</c:v>
                </c:pt>
                <c:pt idx="16">
                  <c:v>7.8</c:v>
                </c:pt>
                <c:pt idx="17">
                  <c:v>10</c:v>
                </c:pt>
                <c:pt idx="18">
                  <c:v>15</c:v>
                </c:pt>
                <c:pt idx="19">
                  <c:v>20</c:v>
                </c:pt>
                <c:pt idx="20">
                  <c:v>25</c:v>
                </c:pt>
                <c:pt idx="21">
                  <c:v>30</c:v>
                </c:pt>
                <c:pt idx="22">
                  <c:v>35</c:v>
                </c:pt>
                <c:pt idx="23">
                  <c:v>40</c:v>
                </c:pt>
                <c:pt idx="24">
                  <c:v>45</c:v>
                </c:pt>
                <c:pt idx="25">
                  <c:v>52</c:v>
                </c:pt>
              </c:numCache>
            </c:numRef>
          </c:xVal>
          <c:yVal>
            <c:numRef>
              <c:f>'Thermal Shutdown Limit Plot'!$E$3:$E$28</c:f>
              <c:numCache>
                <c:formatCode>General</c:formatCode>
                <c:ptCount val="26"/>
                <c:pt idx="0">
                  <c:v>11724</c:v>
                </c:pt>
                <c:pt idx="1">
                  <c:v>2292</c:v>
                </c:pt>
                <c:pt idx="2">
                  <c:v>1419</c:v>
                </c:pt>
                <c:pt idx="3">
                  <c:v>118</c:v>
                </c:pt>
                <c:pt idx="4">
                  <c:v>50</c:v>
                </c:pt>
                <c:pt idx="5">
                  <c:v>42</c:v>
                </c:pt>
                <c:pt idx="6">
                  <c:v>37</c:v>
                </c:pt>
                <c:pt idx="7">
                  <c:v>30</c:v>
                </c:pt>
                <c:pt idx="8">
                  <c:v>25</c:v>
                </c:pt>
                <c:pt idx="9">
                  <c:v>20</c:v>
                </c:pt>
                <c:pt idx="10">
                  <c:v>16</c:v>
                </c:pt>
                <c:pt idx="11">
                  <c:v>13</c:v>
                </c:pt>
                <c:pt idx="12">
                  <c:v>12</c:v>
                </c:pt>
                <c:pt idx="13">
                  <c:v>10</c:v>
                </c:pt>
                <c:pt idx="14">
                  <c:v>3.1</c:v>
                </c:pt>
                <c:pt idx="15">
                  <c:v>1.4</c:v>
                </c:pt>
                <c:pt idx="16">
                  <c:v>1.2</c:v>
                </c:pt>
                <c:pt idx="17">
                  <c:v>0.88</c:v>
                </c:pt>
                <c:pt idx="18">
                  <c:v>0.5</c:v>
                </c:pt>
                <c:pt idx="19">
                  <c:v>0.33</c:v>
                </c:pt>
                <c:pt idx="20">
                  <c:v>0.255</c:v>
                </c:pt>
                <c:pt idx="21">
                  <c:v>0.197</c:v>
                </c:pt>
                <c:pt idx="22">
                  <c:v>0.173</c:v>
                </c:pt>
                <c:pt idx="23">
                  <c:v>0.164</c:v>
                </c:pt>
                <c:pt idx="24">
                  <c:v>0.147</c:v>
                </c:pt>
                <c:pt idx="25">
                  <c:v>0.11</c:v>
                </c:pt>
              </c:numCache>
            </c:numRef>
          </c:yVal>
          <c:smooth val="0"/>
        </c:ser>
        <c:axId val="3613489"/>
        <c:axId val="14662502"/>
      </c:scatterChart>
      <c:valAx>
        <c:axId val="8505271"/>
        <c:scaling>
          <c:logBase val="10"/>
          <c:orientation val="minMax"/>
          <c:max val="100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minorGridlines>
          <c:spPr>
            <a:ln w="9360">
              <a:solidFill>
                <a:srgbClr val="B7B7B7"/>
              </a:solidFill>
              <a:round/>
            </a:ln>
          </c:spPr>
        </c:min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6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Power dissipation (W)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@" sourceLinked="0"/>
        <c:majorTickMark val="out"/>
        <c:minorTickMark val="in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4947134"/>
        <c:crossesAt val="-1"/>
        <c:crossBetween val="midCat"/>
        <c:majorUnit val="1"/>
      </c:valAx>
      <c:valAx>
        <c:axId val="24947134"/>
        <c:scaling>
          <c:logBase val="10"/>
          <c:orientation val="minMax"/>
          <c:max val="10000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minorGridlines>
          <c:spPr>
            <a:ln w="9360">
              <a:solidFill>
                <a:srgbClr val="B7B7B7"/>
              </a:solidFill>
              <a:round/>
            </a:ln>
          </c:spPr>
        </c:min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6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Thermal Shutdown Time (ms)</a:t>
                </a:r>
              </a:p>
            </c:rich>
          </c:tx>
          <c:layout>
            <c:manualLayout>
              <c:xMode val="edge"/>
              <c:yMode val="edge"/>
              <c:x val="0.020915795175201"/>
              <c:y val="0.245537631110838"/>
            </c:manualLayout>
          </c:layout>
          <c:overlay val="0"/>
          <c:spPr>
            <a:noFill/>
            <a:ln w="0">
              <a:noFill/>
            </a:ln>
          </c:spPr>
        </c:title>
        <c:numFmt formatCode="0.0" sourceLinked="0"/>
        <c:majorTickMark val="out"/>
        <c:minorTickMark val="in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505271"/>
        <c:crossesAt val="-0.05"/>
        <c:crossBetween val="midCat"/>
      </c:valAx>
      <c:valAx>
        <c:axId val="3613489"/>
        <c:scaling>
          <c:logBase val="10"/>
          <c:orientation val="minMax"/>
        </c:scaling>
        <c:delete val="1"/>
        <c:axPos val="t"/>
        <c:numFmt formatCode="General" sourceLinked="1"/>
        <c:majorTickMark val="out"/>
        <c:minorTickMark val="none"/>
        <c:tickLblPos val="none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4662502"/>
        <c:crossBetween val="midCat"/>
      </c:valAx>
      <c:valAx>
        <c:axId val="14662502"/>
        <c:scaling>
          <c:logBase val="10"/>
          <c:orientation val="minMax"/>
          <c:max val="100000"/>
          <c:min val="0.1"/>
        </c:scaling>
        <c:delete val="1"/>
        <c:axPos val="r"/>
        <c:numFmt formatCode="General" sourceLinked="1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613489"/>
        <c:crossBetween val="midCat"/>
        <c:minorUnit val="9"/>
      </c:valAx>
      <c:spPr>
        <a:solidFill>
          <a:srgbClr val="FFFFFF"/>
        </a:solidFill>
        <a:ln w="0">
          <a:noFill/>
        </a:ln>
      </c:spPr>
    </c:plotArea>
    <c:legend>
      <c:legendPos val="r"/>
      <c:layout>
        <c:manualLayout>
          <c:xMode val="edge"/>
          <c:yMode val="edge"/>
          <c:x val="0.831617236610841"/>
          <c:y val="0.164193292578401"/>
          <c:w val="0.166609165836895"/>
          <c:h val="0.180420474380627"/>
        </c:manualLayout>
      </c:layout>
      <c:overlay val="1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image" Target="../media/image1.png"/><Relationship Id="rId4" Type="http://schemas.openxmlformats.org/officeDocument/2006/relationships/image" Target="../media/image2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636480</xdr:colOff>
      <xdr:row>11</xdr:row>
      <xdr:rowOff>216360</xdr:rowOff>
    </xdr:from>
    <xdr:to>
      <xdr:col>11</xdr:col>
      <xdr:colOff>905040</xdr:colOff>
      <xdr:row>21</xdr:row>
      <xdr:rowOff>144360</xdr:rowOff>
    </xdr:to>
    <xdr:graphicFrame>
      <xdr:nvGraphicFramePr>
        <xdr:cNvPr id="1" name="Chart 2"/>
        <xdr:cNvGraphicFramePr/>
      </xdr:nvGraphicFramePr>
      <xdr:xfrm>
        <a:off x="13894560" y="2730960"/>
        <a:ext cx="6588000" cy="2214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625320</xdr:colOff>
      <xdr:row>22</xdr:row>
      <xdr:rowOff>108000</xdr:rowOff>
    </xdr:from>
    <xdr:to>
      <xdr:col>11</xdr:col>
      <xdr:colOff>893880</xdr:colOff>
      <xdr:row>30</xdr:row>
      <xdr:rowOff>291240</xdr:rowOff>
    </xdr:to>
    <xdr:graphicFrame>
      <xdr:nvGraphicFramePr>
        <xdr:cNvPr id="2" name="Chart 5"/>
        <xdr:cNvGraphicFramePr/>
      </xdr:nvGraphicFramePr>
      <xdr:xfrm>
        <a:off x="13883400" y="5137200"/>
        <a:ext cx="6588000" cy="2031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259200</xdr:colOff>
      <xdr:row>0</xdr:row>
      <xdr:rowOff>0</xdr:rowOff>
    </xdr:from>
    <xdr:to>
      <xdr:col>11</xdr:col>
      <xdr:colOff>525960</xdr:colOff>
      <xdr:row>12</xdr:row>
      <xdr:rowOff>111960</xdr:rowOff>
    </xdr:to>
    <xdr:pic>
      <xdr:nvPicPr>
        <xdr:cNvPr id="3" name="Picture 8"/>
        <xdr:cNvPicPr/>
      </xdr:nvPicPr>
      <xdr:blipFill>
        <a:blip r:embed="rId3"/>
        <a:stretch/>
      </xdr:blipFill>
      <xdr:spPr>
        <a:xfrm>
          <a:off x="14636880" y="0"/>
          <a:ext cx="5466600" cy="2855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11</xdr:col>
      <xdr:colOff>1466280</xdr:colOff>
      <xdr:row>0</xdr:row>
      <xdr:rowOff>190440</xdr:rowOff>
    </xdr:from>
    <xdr:to>
      <xdr:col>17</xdr:col>
      <xdr:colOff>83880</xdr:colOff>
      <xdr:row>11</xdr:row>
      <xdr:rowOff>165600</xdr:rowOff>
    </xdr:to>
    <xdr:pic>
      <xdr:nvPicPr>
        <xdr:cNvPr id="4" name="Picture 9"/>
        <xdr:cNvPicPr/>
      </xdr:nvPicPr>
      <xdr:blipFill>
        <a:blip r:embed="rId4"/>
        <a:stretch/>
      </xdr:blipFill>
      <xdr:spPr>
        <a:xfrm>
          <a:off x="21043800" y="190440"/>
          <a:ext cx="4615920" cy="24897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5040</xdr:colOff>
      <xdr:row>7</xdr:row>
      <xdr:rowOff>54360</xdr:rowOff>
    </xdr:from>
    <xdr:to>
      <xdr:col>18</xdr:col>
      <xdr:colOff>604800</xdr:colOff>
      <xdr:row>39</xdr:row>
      <xdr:rowOff>131760</xdr:rowOff>
    </xdr:to>
    <xdr:graphicFrame>
      <xdr:nvGraphicFramePr>
        <xdr:cNvPr id="5" name="Chart 4"/>
        <xdr:cNvGraphicFramePr/>
      </xdr:nvGraphicFramePr>
      <xdr:xfrm>
        <a:off x="6035760" y="1378440"/>
        <a:ext cx="8640000" cy="58683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twoCell">
    <xdr:from>
      <xdr:col>6</xdr:col>
      <xdr:colOff>320400</xdr:colOff>
      <xdr:row>36</xdr:row>
      <xdr:rowOff>120960</xdr:rowOff>
    </xdr:from>
    <xdr:to>
      <xdr:col>18</xdr:col>
      <xdr:colOff>409680</xdr:colOff>
      <xdr:row>39</xdr:row>
      <xdr:rowOff>53280</xdr:rowOff>
    </xdr:to>
    <xdr:sp>
      <xdr:nvSpPr>
        <xdr:cNvPr id="6" name="TextBox 1"/>
        <xdr:cNvSpPr/>
      </xdr:nvSpPr>
      <xdr:spPr>
        <a:xfrm>
          <a:off x="6351120" y="6693120"/>
          <a:ext cx="8129520" cy="475200"/>
        </a:xfrm>
        <a:prstGeom prst="rect">
          <a:avLst/>
        </a:prstGeom>
        <a:solidFill>
          <a:srgbClr val="FFFFFF"/>
        </a:solidFill>
        <a:ln w="9525">
          <a:solidFill>
            <a:srgbClr val="FFFFFF">
              <a:shade val="50000"/>
            </a:srgbClr>
          </a:solidFill>
          <a:round/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tIns="45000" rIns="90000" bIns="45000" anchor="t">
          <a:noAutofit/>
        </a:bodyPr>
        <a:p>
          <a:pPr>
            <a:lnSpc>
              <a:spcPct val="100000"/>
            </a:lnSpc>
          </a:pPr>
          <a:r>
            <a:rPr lang="en-US" sz="1400" b="1" u="none" strike="noStrike">
              <a:solidFill>
                <a:srgbClr val="FF0000"/>
              </a:solidFill>
              <a:effectLst/>
              <a:uFillTx/>
              <a:latin typeface="Calibri"/>
            </a:rPr>
            <a:t>Taken on 2-Layer board, 2oz.(0.08-mm thick) with GND plane area: 22 cm</a:t>
          </a:r>
          <a:r>
            <a:rPr lang="en-US" sz="1400" b="1" u="none" strike="noStrike" baseline="30000">
              <a:solidFill>
                <a:srgbClr val="FF0000"/>
              </a:solidFill>
              <a:effectLst/>
              <a:uFillTx/>
              <a:latin typeface="Calibri"/>
            </a:rPr>
            <a:t>2 </a:t>
          </a:r>
          <a:r>
            <a:rPr lang="en-US" sz="1400" b="1" u="none" strike="noStrike">
              <a:solidFill>
                <a:srgbClr val="FF0000"/>
              </a:solidFill>
              <a:effectLst/>
              <a:uFillTx/>
              <a:latin typeface="Calibri"/>
            </a:rPr>
            <a:t>(Top) and 25 cm</a:t>
          </a:r>
          <a:r>
            <a:rPr lang="en-US" sz="1400" b="1" u="none" strike="noStrike" baseline="30000">
              <a:solidFill>
                <a:srgbClr val="FF0000"/>
              </a:solidFill>
              <a:effectLst/>
              <a:uFillTx/>
              <a:latin typeface="Calibri"/>
            </a:rPr>
            <a:t>2 </a:t>
          </a:r>
          <a:r>
            <a:rPr lang="en-US" sz="1400" b="1" u="none" strike="noStrike">
              <a:solidFill>
                <a:srgbClr val="FF0000"/>
              </a:solidFill>
              <a:effectLst/>
              <a:uFillTx/>
              <a:latin typeface="Calibri"/>
            </a:rPr>
            <a:t>(Bottom)</a:t>
          </a:r>
          <a:endParaRPr lang="nl-NL" sz="1400" b="0" u="none" strike="noStrike">
            <a:effectLst/>
            <a:uFillTx/>
            <a:latin typeface="Times New Roman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://www.rfcafe.com/references/electrical/capacitor-values.ht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W78"/>
  <sheetViews>
    <sheetView showFormulas="false" showGridLines="false" showRowColHeaders="true" showZeros="true" rightToLeft="false" tabSelected="true" showOutlineSymbols="true" defaultGridColor="true" view="normal" topLeftCell="A1" colorId="64" zoomScale="70" zoomScaleNormal="70" zoomScalePageLayoutView="100" workbookViewId="0">
      <pane xSplit="2" ySplit="12" topLeftCell="C55" activePane="bottomRight" state="frozen"/>
      <selection pane="topLeft" activeCell="A1" activeCellId="0" sqref="A1"/>
      <selection pane="topRight" activeCell="C1" activeCellId="0" sqref="C1"/>
      <selection pane="bottomLeft" activeCell="A55" activeCellId="0" sqref="A55"/>
      <selection pane="bottomRight" activeCell="D32" activeCellId="0" sqref="D32"/>
    </sheetView>
  </sheetViews>
  <sheetFormatPr defaultColWidth="9.109375" defaultRowHeight="18" customHeight="true" zeroHeight="false" outlineLevelRow="0" outlineLevelCol="0"/>
  <cols>
    <col collapsed="false" customWidth="true" hidden="false" outlineLevel="0" max="1" min="1" style="1" width="2.44"/>
    <col collapsed="false" customWidth="true" hidden="false" outlineLevel="0" max="2" min="2" style="1" width="89.44"/>
    <col collapsed="false" customWidth="true" hidden="false" outlineLevel="0" max="3" min="3" style="2" width="60.67"/>
    <col collapsed="false" customWidth="true" hidden="false" outlineLevel="0" max="4" min="4" style="3" width="15.66"/>
    <col collapsed="false" customWidth="true" hidden="false" outlineLevel="0" max="5" min="5" style="1" width="8.88"/>
    <col collapsed="false" customWidth="true" hidden="false" outlineLevel="0" max="6" min="6" style="4" width="11"/>
    <col collapsed="false" customWidth="true" hidden="false" outlineLevel="0" max="7" min="7" style="5" width="15.88"/>
    <col collapsed="false" customWidth="false" hidden="false" outlineLevel="0" max="8" min="8" style="1" width="9.11"/>
    <col collapsed="false" customWidth="true" hidden="false" outlineLevel="0" max="9" min="9" style="1" width="11.56"/>
    <col collapsed="false" customWidth="true" hidden="false" outlineLevel="0" max="10" min="10" style="1" width="20.66"/>
    <col collapsed="false" customWidth="true" hidden="false" outlineLevel="0" max="11" min="11" style="1" width="32.44"/>
    <col collapsed="false" customWidth="true" hidden="false" outlineLevel="0" max="12" min="12" style="6" width="33.11"/>
    <col collapsed="false" customWidth="true" hidden="true" outlineLevel="0" max="13" min="13" style="1" width="11.53"/>
    <col collapsed="false" customWidth="false" hidden="false" outlineLevel="0" max="14" min="14" style="1" width="9.11"/>
    <col collapsed="false" customWidth="true" hidden="false" outlineLevel="0" max="15" min="15" style="1" width="9.33"/>
    <col collapsed="false" customWidth="true" hidden="false" outlineLevel="0" max="16" min="16" style="1" width="9.88"/>
    <col collapsed="false" customWidth="true" hidden="false" outlineLevel="0" max="17" min="17" style="1" width="23.67"/>
    <col collapsed="false" customWidth="true" hidden="false" outlineLevel="0" max="18" min="18" style="1" width="28.88"/>
    <col collapsed="false" customWidth="false" hidden="false" outlineLevel="0" max="19" min="19" style="1" width="9.11"/>
    <col collapsed="false" customWidth="true" hidden="false" outlineLevel="0" max="20" min="20" style="1" width="11.56"/>
    <col collapsed="false" customWidth="true" hidden="false" outlineLevel="0" max="21" min="21" style="1" width="10.33"/>
    <col collapsed="false" customWidth="true" hidden="false" outlineLevel="0" max="22" min="22" style="1" width="32.44"/>
    <col collapsed="false" customWidth="true" hidden="false" outlineLevel="0" max="23" min="23" style="1" width="33.11"/>
    <col collapsed="false" customWidth="false" hidden="false" outlineLevel="0" max="16384" min="24" style="1" width="9.11"/>
  </cols>
  <sheetData>
    <row r="1" customFormat="false" ht="18" hidden="false" customHeight="true" outlineLevel="0" collapsed="false">
      <c r="B1" s="7" t="s">
        <v>0</v>
      </c>
      <c r="C1" s="8"/>
      <c r="D1" s="9"/>
      <c r="E1" s="10"/>
      <c r="F1" s="11"/>
    </row>
    <row r="2" customFormat="false" ht="18" hidden="false" customHeight="true" outlineLevel="0" collapsed="false">
      <c r="B2" s="12" t="s">
        <v>1</v>
      </c>
      <c r="C2" s="13" t="s">
        <v>2</v>
      </c>
      <c r="D2" s="14" t="s">
        <v>3</v>
      </c>
      <c r="E2" s="10"/>
      <c r="F2" s="11"/>
      <c r="G2" s="15" t="s">
        <v>4</v>
      </c>
    </row>
    <row r="3" customFormat="false" ht="18" hidden="false" customHeight="true" outlineLevel="0" collapsed="false">
      <c r="B3" s="10"/>
      <c r="C3" s="16" t="s">
        <v>5</v>
      </c>
      <c r="D3" s="9"/>
      <c r="E3" s="10"/>
      <c r="F3" s="11"/>
      <c r="G3" s="15"/>
    </row>
    <row r="4" customFormat="false" ht="18" hidden="false" customHeight="true" outlineLevel="0" collapsed="false">
      <c r="B4" s="17" t="s">
        <v>6</v>
      </c>
      <c r="C4" s="18" t="s">
        <v>7</v>
      </c>
      <c r="D4" s="19" t="s">
        <v>8</v>
      </c>
      <c r="E4" s="20" t="s">
        <v>9</v>
      </c>
      <c r="F4" s="21" t="s">
        <v>10</v>
      </c>
      <c r="T4" s="22" t="s">
        <v>11</v>
      </c>
      <c r="U4" s="22" t="s">
        <v>12</v>
      </c>
      <c r="V4" s="23" t="s">
        <v>13</v>
      </c>
      <c r="W4" s="23" t="s">
        <v>14</v>
      </c>
    </row>
    <row r="5" customFormat="false" ht="18" hidden="false" customHeight="true" outlineLevel="0" collapsed="false">
      <c r="B5" s="24" t="s">
        <v>15</v>
      </c>
      <c r="C5" s="25" t="s">
        <v>16</v>
      </c>
      <c r="D5" s="26" t="s">
        <v>17</v>
      </c>
      <c r="E5" s="27"/>
      <c r="F5" s="28"/>
      <c r="G5" s="5" t="n">
        <f aca="false">IF(OR(D5= "TPS25923",D5= "TPS25925"),6.1,IF(OR(D5 = "TPS25924",D5= "TPS25926"),15,18))</f>
        <v>6.1</v>
      </c>
      <c r="T5" s="29" t="s">
        <v>17</v>
      </c>
      <c r="U5" s="29" t="n">
        <v>6.1</v>
      </c>
      <c r="V5" s="30" t="n">
        <v>37</v>
      </c>
      <c r="W5" s="31" t="n">
        <v>48</v>
      </c>
    </row>
    <row r="6" customFormat="false" ht="18" hidden="false" customHeight="true" outlineLevel="0" collapsed="false">
      <c r="B6" s="24" t="s">
        <v>18</v>
      </c>
      <c r="C6" s="25" t="s">
        <v>19</v>
      </c>
      <c r="D6" s="32" t="n">
        <v>5</v>
      </c>
      <c r="E6" s="33" t="s">
        <v>20</v>
      </c>
      <c r="F6" s="34" t="s">
        <v>21</v>
      </c>
      <c r="T6" s="29" t="s">
        <v>22</v>
      </c>
      <c r="U6" s="29" t="n">
        <v>15</v>
      </c>
      <c r="V6" s="30" t="n">
        <v>37</v>
      </c>
      <c r="W6" s="31" t="n">
        <v>48</v>
      </c>
    </row>
    <row r="7" customFormat="false" ht="18" hidden="false" customHeight="true" outlineLevel="0" collapsed="false">
      <c r="B7" s="24" t="s">
        <v>23</v>
      </c>
      <c r="C7" s="25" t="s">
        <v>24</v>
      </c>
      <c r="D7" s="32" t="n">
        <v>4</v>
      </c>
      <c r="E7" s="33" t="s">
        <v>20</v>
      </c>
      <c r="F7" s="34"/>
      <c r="T7" s="29" t="s">
        <v>25</v>
      </c>
      <c r="U7" s="29" t="n">
        <v>6.1</v>
      </c>
      <c r="V7" s="30" t="n">
        <v>39</v>
      </c>
      <c r="W7" s="31" t="n">
        <v>50</v>
      </c>
    </row>
    <row r="8" customFormat="false" ht="18" hidden="false" customHeight="true" outlineLevel="0" collapsed="false">
      <c r="B8" s="24" t="s">
        <v>26</v>
      </c>
      <c r="C8" s="25" t="s">
        <v>27</v>
      </c>
      <c r="D8" s="35" t="n">
        <v>10</v>
      </c>
      <c r="E8" s="33" t="s">
        <v>28</v>
      </c>
      <c r="F8" s="36" t="n">
        <v>0.1</v>
      </c>
      <c r="T8" s="29" t="s">
        <v>29</v>
      </c>
      <c r="U8" s="29" t="n">
        <v>15</v>
      </c>
      <c r="V8" s="30" t="n">
        <v>39</v>
      </c>
      <c r="W8" s="31" t="n">
        <v>50</v>
      </c>
    </row>
    <row r="9" customFormat="false" ht="18" hidden="false" customHeight="true" outlineLevel="0" collapsed="false">
      <c r="B9" s="24" t="s">
        <v>30</v>
      </c>
      <c r="C9" s="37" t="s">
        <v>31</v>
      </c>
      <c r="D9" s="35" t="n">
        <v>4</v>
      </c>
      <c r="E9" s="33" t="s">
        <v>32</v>
      </c>
      <c r="F9" s="38"/>
      <c r="G9" s="39" t="n">
        <f aca="false">1.1*Vcc_max/Ilimit</f>
        <v>5.72916666666667</v>
      </c>
      <c r="T9" s="29" t="s">
        <v>33</v>
      </c>
      <c r="U9" s="29" t="s">
        <v>34</v>
      </c>
      <c r="V9" s="30" t="n">
        <v>37</v>
      </c>
      <c r="W9" s="31" t="n">
        <v>48</v>
      </c>
    </row>
    <row r="10" customFormat="false" ht="18" hidden="false" customHeight="true" outlineLevel="0" collapsed="false">
      <c r="B10" s="24" t="s">
        <v>35</v>
      </c>
      <c r="C10" s="25" t="s">
        <v>36</v>
      </c>
      <c r="D10" s="35" t="n">
        <v>0.8</v>
      </c>
      <c r="E10" s="33" t="s">
        <v>37</v>
      </c>
      <c r="F10" s="34"/>
    </row>
    <row r="11" customFormat="false" ht="18" hidden="false" customHeight="true" outlineLevel="0" collapsed="false">
      <c r="B11" s="40" t="s">
        <v>38</v>
      </c>
      <c r="C11" s="41" t="s">
        <v>39</v>
      </c>
      <c r="D11" s="42" t="n">
        <f aca="false">1.2*Imax</f>
        <v>0.96</v>
      </c>
      <c r="E11" s="43" t="s">
        <v>37</v>
      </c>
      <c r="F11" s="44"/>
    </row>
    <row r="12" customFormat="false" ht="18" hidden="false" customHeight="true" outlineLevel="0" collapsed="false">
      <c r="B12" s="10"/>
      <c r="C12" s="45"/>
      <c r="D12" s="9"/>
      <c r="E12" s="10"/>
      <c r="F12" s="11"/>
    </row>
    <row r="13" customFormat="false" ht="18" hidden="false" customHeight="true" outlineLevel="0" collapsed="false">
      <c r="B13" s="46" t="s">
        <v>40</v>
      </c>
      <c r="C13" s="47"/>
      <c r="D13" s="48"/>
      <c r="E13" s="47"/>
      <c r="F13" s="49"/>
    </row>
    <row r="14" customFormat="false" ht="18" hidden="false" customHeight="false" outlineLevel="0" collapsed="false">
      <c r="B14" s="24" t="s">
        <v>41</v>
      </c>
      <c r="C14" s="25" t="s">
        <v>42</v>
      </c>
      <c r="D14" s="35" t="n">
        <v>1000</v>
      </c>
      <c r="E14" s="33" t="s">
        <v>43</v>
      </c>
      <c r="F14" s="50" t="n">
        <v>0.01</v>
      </c>
      <c r="M14" s="1" t="n">
        <f aca="false">IF(D14&gt;=100,D14,IF(D14&gt;=10,D14*10,D14*100))</f>
        <v>1000</v>
      </c>
    </row>
    <row r="15" customFormat="false" ht="18" hidden="false" customHeight="true" outlineLevel="0" collapsed="false">
      <c r="B15" s="51" t="s">
        <v>44</v>
      </c>
      <c r="C15" s="52" t="s">
        <v>45</v>
      </c>
      <c r="D15" s="53" t="n">
        <f aca="false">RpUVLO/(UVset/UVref -1)</f>
        <v>509.433962264151</v>
      </c>
      <c r="E15" s="54" t="s">
        <v>43</v>
      </c>
      <c r="F15" s="55"/>
      <c r="J15" s="56" t="n">
        <f aca="false">D18</f>
        <v>3.99187866927593</v>
      </c>
      <c r="K15" s="57" t="s">
        <v>46</v>
      </c>
      <c r="M15" s="58" t="n">
        <f aca="false">IF(D15&gt;=100,D15,IF(D15&gt;=10,D15*10,D15*100))</f>
        <v>509.433962264151</v>
      </c>
    </row>
    <row r="16" customFormat="false" ht="18" hidden="false" customHeight="true" outlineLevel="0" collapsed="false">
      <c r="B16" s="59" t="s">
        <v>47</v>
      </c>
      <c r="C16" s="60"/>
      <c r="D16" s="61"/>
      <c r="E16" s="62"/>
      <c r="F16" s="63"/>
      <c r="J16" s="56" t="n">
        <f aca="false">D19</f>
        <v>4.13972602739726</v>
      </c>
      <c r="K16" s="57" t="s">
        <v>48</v>
      </c>
    </row>
    <row r="17" customFormat="false" ht="18" hidden="false" customHeight="true" outlineLevel="0" collapsed="false">
      <c r="B17" s="64" t="s">
        <v>49</v>
      </c>
      <c r="C17" s="65" t="s">
        <v>50</v>
      </c>
      <c r="D17" s="66" t="n">
        <f aca="false">G17</f>
        <v>511</v>
      </c>
      <c r="E17" s="54" t="s">
        <v>43</v>
      </c>
      <c r="F17" s="67" t="n">
        <f aca="false">F14</f>
        <v>0.01</v>
      </c>
      <c r="G17" s="5" t="n">
        <f aca="false">M17*D15/M15</f>
        <v>511</v>
      </c>
      <c r="J17" s="68" t="n">
        <f aca="false">IF(D21="No Clamp",, D21)</f>
        <v>6.1</v>
      </c>
      <c r="K17" s="57" t="s">
        <v>51</v>
      </c>
      <c r="M17" s="69" t="n">
        <f aca="false">INDEX('Res EIA Tables'!E$5:E$197,2+MATCH(M15,'Res EIA Tables'!E$5:E$197))</f>
        <v>511</v>
      </c>
    </row>
    <row r="18" s="70" customFormat="true" ht="18" hidden="false" customHeight="true" outlineLevel="0" collapsed="false">
      <c r="B18" s="71" t="s">
        <v>52</v>
      </c>
      <c r="C18" s="72" t="str">
        <f aca="false">C7</f>
        <v>Power Failure Detection Threshold (VIN  Falling)</v>
      </c>
      <c r="D18" s="73" t="n">
        <f aca="false">UVref*(1+RpUVLO/D17)</f>
        <v>3.99187866927593</v>
      </c>
      <c r="E18" s="74" t="s">
        <v>20</v>
      </c>
      <c r="F18" s="75" t="n">
        <f aca="false">SQRT(F75^2+F14^2+F17^2)</f>
        <v>0.033166247903554</v>
      </c>
      <c r="G18" s="76"/>
      <c r="L18" s="77"/>
    </row>
    <row r="19" s="78" customFormat="true" ht="18" hidden="false" customHeight="true" outlineLevel="0" collapsed="false">
      <c r="B19" s="79" t="s">
        <v>53</v>
      </c>
      <c r="C19" s="80" t="s">
        <v>54</v>
      </c>
      <c r="D19" s="81" t="n">
        <f aca="false">(UVref+0.05)*(1+RpUVLO/D17)</f>
        <v>4.13972602739726</v>
      </c>
      <c r="E19" s="82" t="s">
        <v>20</v>
      </c>
      <c r="F19" s="83" t="n">
        <f aca="false">F18</f>
        <v>0.033166247903554</v>
      </c>
      <c r="G19" s="84"/>
      <c r="L19" s="85"/>
    </row>
    <row r="20" customFormat="false" ht="18" hidden="false" customHeight="true" outlineLevel="0" collapsed="false">
      <c r="B20" s="86" t="s">
        <v>55</v>
      </c>
      <c r="C20" s="87" t="s">
        <v>56</v>
      </c>
      <c r="D20" s="81" t="n">
        <f aca="false">Vcc_max*1000/(RpUVLO+D17)</f>
        <v>3.30906684315023</v>
      </c>
      <c r="E20" s="54" t="s">
        <v>57</v>
      </c>
      <c r="F20" s="55"/>
    </row>
    <row r="21" customFormat="false" ht="18" hidden="false" customHeight="true" outlineLevel="0" collapsed="false">
      <c r="B21" s="86" t="s">
        <v>58</v>
      </c>
      <c r="C21" s="87" t="s">
        <v>59</v>
      </c>
      <c r="D21" s="88" t="n">
        <f aca="false">INDEX(U5:U9,MATCH(D5,T5:T9))</f>
        <v>6.1</v>
      </c>
      <c r="E21" s="54" t="s">
        <v>20</v>
      </c>
      <c r="F21" s="83" t="n">
        <v>0.1</v>
      </c>
    </row>
    <row r="22" customFormat="false" ht="18" hidden="false" customHeight="true" outlineLevel="0" collapsed="false">
      <c r="B22" s="10"/>
      <c r="C22" s="45"/>
      <c r="D22" s="9"/>
      <c r="E22" s="10"/>
      <c r="F22" s="11"/>
    </row>
    <row r="23" customFormat="false" ht="28.5" hidden="false" customHeight="true" outlineLevel="0" collapsed="false">
      <c r="B23" s="89" t="s">
        <v>60</v>
      </c>
      <c r="C23" s="89"/>
      <c r="D23" s="48"/>
      <c r="E23" s="47"/>
      <c r="F23" s="49"/>
    </row>
    <row r="24" customFormat="false" ht="18" hidden="false" customHeight="true" outlineLevel="0" collapsed="false">
      <c r="B24" s="51" t="s">
        <v>61</v>
      </c>
      <c r="C24" s="52" t="s">
        <v>62</v>
      </c>
      <c r="D24" s="81" t="n">
        <f aca="false">(Ilimit-0.7)/(0.03)</f>
        <v>8.66666666666667</v>
      </c>
      <c r="E24" s="33" t="s">
        <v>43</v>
      </c>
      <c r="F24" s="90"/>
      <c r="J24" s="6" t="n">
        <f aca="false">Icharge</f>
        <v>0.152428571428571</v>
      </c>
      <c r="K24" s="91" t="s">
        <v>63</v>
      </c>
      <c r="M24" s="58" t="n">
        <f aca="false">IF(D24&gt;=100,D24,IF(D24&gt;=10,D24*10,D24*100))</f>
        <v>866.666666666667</v>
      </c>
    </row>
    <row r="25" customFormat="false" ht="18" hidden="false" customHeight="true" outlineLevel="0" collapsed="false">
      <c r="B25" s="59" t="s">
        <v>64</v>
      </c>
      <c r="C25" s="60"/>
      <c r="D25" s="92"/>
      <c r="E25" s="33"/>
      <c r="F25" s="90"/>
      <c r="J25" s="6" t="n">
        <f aca="false">Ilimit_final</f>
        <v>0.9661</v>
      </c>
      <c r="K25" s="91" t="s">
        <v>65</v>
      </c>
    </row>
    <row r="26" customFormat="false" ht="18" hidden="false" customHeight="true" outlineLevel="0" collapsed="false">
      <c r="B26" s="64" t="s">
        <v>66</v>
      </c>
      <c r="C26" s="65" t="s">
        <v>67</v>
      </c>
      <c r="D26" s="66" t="n">
        <f aca="false">G26</f>
        <v>8.87</v>
      </c>
      <c r="E26" s="33" t="s">
        <v>43</v>
      </c>
      <c r="F26" s="50" t="n">
        <v>0.01</v>
      </c>
      <c r="G26" s="93" t="n">
        <f aca="false">M26*D24/M24</f>
        <v>8.87</v>
      </c>
      <c r="J26" s="6" t="n">
        <f aca="false">D28</f>
        <v>1.54576</v>
      </c>
      <c r="K26" s="91" t="s">
        <v>68</v>
      </c>
      <c r="M26" s="1" t="n">
        <f aca="false">INDEX('Res EIA Tables'!E$5:E$197,2+MATCH(M24,'Res EIA Tables'!E$5:E$197))</f>
        <v>887</v>
      </c>
    </row>
    <row r="27" s="70" customFormat="true" ht="18" hidden="false" customHeight="true" outlineLevel="0" collapsed="false">
      <c r="B27" s="94" t="s">
        <v>69</v>
      </c>
      <c r="C27" s="95" t="s">
        <v>70</v>
      </c>
      <c r="D27" s="73" t="n">
        <f aca="false">(0.7+0.03*Rilim)</f>
        <v>0.9661</v>
      </c>
      <c r="E27" s="96" t="s">
        <v>37</v>
      </c>
      <c r="F27" s="97" t="n">
        <f aca="false">SQRT(0.08^2+F26^2)</f>
        <v>0.0806225774829855</v>
      </c>
      <c r="G27" s="76"/>
      <c r="J27" s="6"/>
      <c r="K27" s="91"/>
      <c r="L27" s="77"/>
    </row>
    <row r="28" customFormat="false" ht="18" hidden="false" customHeight="true" outlineLevel="0" collapsed="false">
      <c r="B28" s="94" t="s">
        <v>71</v>
      </c>
      <c r="C28" s="95" t="s">
        <v>72</v>
      </c>
      <c r="D28" s="73" t="n">
        <f aca="false">1.6*Ilimit_final</f>
        <v>1.54576</v>
      </c>
      <c r="E28" s="94" t="s">
        <v>37</v>
      </c>
      <c r="F28" s="98" t="n">
        <f aca="false">SQRT(F27^2+0.2^2)</f>
        <v>0.215638586528478</v>
      </c>
    </row>
    <row r="29" customFormat="false" ht="18" hidden="false" customHeight="true" outlineLevel="0" collapsed="false">
      <c r="B29" s="10"/>
      <c r="C29" s="45"/>
      <c r="D29" s="9"/>
      <c r="E29" s="10"/>
      <c r="F29" s="11"/>
    </row>
    <row r="30" customFormat="false" ht="9" hidden="false" customHeight="true" outlineLevel="0" collapsed="false">
      <c r="B30" s="10"/>
      <c r="C30" s="45"/>
      <c r="D30" s="9"/>
      <c r="E30" s="10"/>
      <c r="F30" s="11"/>
    </row>
    <row r="31" customFormat="false" ht="30.75" hidden="false" customHeight="true" outlineLevel="0" collapsed="false">
      <c r="B31" s="89" t="s">
        <v>73</v>
      </c>
      <c r="C31" s="89"/>
      <c r="D31" s="48"/>
      <c r="E31" s="47"/>
      <c r="F31" s="49"/>
    </row>
    <row r="32" customFormat="false" ht="18" hidden="false" customHeight="true" outlineLevel="0" collapsed="false">
      <c r="B32" s="99" t="s">
        <v>6</v>
      </c>
      <c r="C32" s="100" t="s">
        <v>7</v>
      </c>
      <c r="D32" s="101" t="s">
        <v>8</v>
      </c>
      <c r="E32" s="102" t="s">
        <v>9</v>
      </c>
      <c r="F32" s="99" t="s">
        <v>10</v>
      </c>
    </row>
    <row r="33" customFormat="false" ht="18" hidden="false" customHeight="true" outlineLevel="0" collapsed="false">
      <c r="B33" s="51" t="s">
        <v>74</v>
      </c>
      <c r="C33" s="52" t="s">
        <v>75</v>
      </c>
      <c r="D33" s="103" t="n">
        <v>0.22</v>
      </c>
      <c r="E33" s="54" t="s">
        <v>57</v>
      </c>
      <c r="F33" s="104" t="n">
        <v>0.15</v>
      </c>
    </row>
    <row r="34" customFormat="false" ht="18" hidden="false" customHeight="true" outlineLevel="0" collapsed="false">
      <c r="B34" s="51" t="s">
        <v>76</v>
      </c>
      <c r="C34" s="52" t="s">
        <v>77</v>
      </c>
      <c r="D34" s="103" t="n">
        <v>4.85</v>
      </c>
      <c r="E34" s="54" t="s">
        <v>78</v>
      </c>
      <c r="F34" s="104" t="n">
        <v>0.03</v>
      </c>
    </row>
    <row r="35" customFormat="false" ht="30" hidden="false" customHeight="true" outlineLevel="0" collapsed="false">
      <c r="B35" s="51" t="s">
        <v>79</v>
      </c>
      <c r="C35" s="52" t="s">
        <v>80</v>
      </c>
      <c r="D35" s="103" t="n">
        <f aca="false">MIN(Cout*Gain_dvdt*I_dvdt/70, Ilimit_final)</f>
        <v>0.152428571428571</v>
      </c>
      <c r="E35" s="54" t="s">
        <v>37</v>
      </c>
      <c r="F35" s="104"/>
    </row>
    <row r="36" customFormat="false" ht="18" hidden="false" customHeight="true" outlineLevel="0" collapsed="false">
      <c r="B36" s="51" t="s">
        <v>81</v>
      </c>
      <c r="C36" s="52" t="s">
        <v>82</v>
      </c>
      <c r="D36" s="103" t="n">
        <f aca="false">Vcc_max*Cout*0.001/D35</f>
        <v>0.328022492970947</v>
      </c>
      <c r="E36" s="54" t="s">
        <v>83</v>
      </c>
      <c r="F36" s="104" t="n">
        <v>0.2</v>
      </c>
      <c r="G36" s="105"/>
    </row>
    <row r="37" customFormat="false" ht="18" hidden="false" customHeight="true" outlineLevel="0" collapsed="false">
      <c r="B37" s="24" t="s">
        <v>84</v>
      </c>
      <c r="C37" s="25" t="s">
        <v>85</v>
      </c>
      <c r="D37" s="32" t="n">
        <v>1</v>
      </c>
      <c r="E37" s="54" t="s">
        <v>83</v>
      </c>
      <c r="F37" s="55"/>
    </row>
    <row r="38" customFormat="false" ht="18" hidden="false" customHeight="true" outlineLevel="0" collapsed="false">
      <c r="B38" s="24" t="s">
        <v>86</v>
      </c>
      <c r="C38" s="25" t="s">
        <v>87</v>
      </c>
      <c r="D38" s="32" t="n">
        <v>0.5</v>
      </c>
      <c r="E38" s="54" t="s">
        <v>37</v>
      </c>
      <c r="F38" s="55"/>
    </row>
    <row r="39" customFormat="false" ht="18" hidden="false" customHeight="false" outlineLevel="0" collapsed="false">
      <c r="B39" s="51" t="s">
        <v>88</v>
      </c>
      <c r="C39" s="52" t="s">
        <v>89</v>
      </c>
      <c r="D39" s="106" t="n">
        <f aca="false">IF(Tchg_req&lt;D36,    0,  (I_dvdt*Gain_dvdt*Tchg_req/Vcc_max))</f>
        <v>0.2134</v>
      </c>
      <c r="E39" s="54" t="s">
        <v>90</v>
      </c>
      <c r="F39" s="55"/>
    </row>
    <row r="40" customFormat="false" ht="18" hidden="false" customHeight="false" outlineLevel="0" collapsed="false">
      <c r="B40" s="51" t="s">
        <v>91</v>
      </c>
      <c r="C40" s="52" t="s">
        <v>92</v>
      </c>
      <c r="D40" s="106" t="n">
        <f aca="false">(I_dvdt*Gain_dvdt*Cout*0.001/Icharge_req)</f>
        <v>0.02134</v>
      </c>
      <c r="E40" s="54" t="s">
        <v>90</v>
      </c>
      <c r="F40" s="55"/>
      <c r="G40" s="93" t="n">
        <f aca="false">MAX(Cdvdt_ext_cal1,Cext_dvdt_cal2)</f>
        <v>0.2134</v>
      </c>
    </row>
    <row r="41" customFormat="false" ht="18" hidden="false" customHeight="true" outlineLevel="0" collapsed="false">
      <c r="B41" s="59" t="s">
        <v>93</v>
      </c>
      <c r="C41" s="60"/>
      <c r="D41" s="61"/>
      <c r="E41" s="54"/>
      <c r="F41" s="55"/>
    </row>
    <row r="42" customFormat="false" ht="18" hidden="false" customHeight="true" outlineLevel="0" collapsed="false">
      <c r="B42" s="64" t="s">
        <v>94</v>
      </c>
      <c r="C42" s="65" t="s">
        <v>95</v>
      </c>
      <c r="D42" s="66" t="n">
        <v>0</v>
      </c>
      <c r="E42" s="54" t="s">
        <v>90</v>
      </c>
      <c r="F42" s="107" t="n">
        <v>0.1</v>
      </c>
      <c r="G42" s="108" t="n">
        <f aca="false">IF(G40&gt;1,    INDEX('Cap Tables'!B4:B75,1+MATCH(G40,'Cap Tables'!B4:B75)),     INDEX('Cap Tables'!A4:A75,1+MATCH(G40*10,'Cap Tables'!A4:A75))/10)</f>
        <v>0.22</v>
      </c>
    </row>
    <row r="43" s="70" customFormat="true" ht="18" hidden="false" customHeight="true" outlineLevel="0" collapsed="false">
      <c r="B43" s="94" t="s">
        <v>96</v>
      </c>
      <c r="C43" s="95" t="s">
        <v>97</v>
      </c>
      <c r="D43" s="73" t="n">
        <f aca="false">Cout*0.000001*Gain_dvdt*I_dvdt*0.000001/(Cdvdt_ext*0.000000001+0.00000000007)</f>
        <v>0.152428571428571</v>
      </c>
      <c r="E43" s="96" t="s">
        <v>37</v>
      </c>
      <c r="F43" s="97" t="n">
        <f aca="false">SQRT(F45^2+F8^2)</f>
        <v>0.208326666559997</v>
      </c>
      <c r="G43" s="109"/>
      <c r="L43" s="77"/>
    </row>
    <row r="44" s="70" customFormat="true" ht="18" hidden="false" customHeight="true" outlineLevel="0" collapsed="false">
      <c r="B44" s="94" t="s">
        <v>98</v>
      </c>
      <c r="C44" s="95"/>
      <c r="D44" s="73" t="n">
        <f aca="false">((Icharge+Vcc_max/Rlstart) &gt;= Ilimit_final)</f>
        <v>1</v>
      </c>
      <c r="E44" s="96"/>
      <c r="F44" s="97"/>
      <c r="G44" s="105" t="e">
        <f aca="false">Cout*0.001*Rlstart*(Ilimit_final/Icharge -1+LN(Icharge/(Ilimit_final-Vcc_max/Rlstart)))</f>
        <v>#VALUE!</v>
      </c>
      <c r="H44" s="105"/>
      <c r="L44" s="77"/>
    </row>
    <row r="45" s="70" customFormat="true" ht="18" hidden="false" customHeight="true" outlineLevel="0" collapsed="false">
      <c r="B45" s="94" t="s">
        <v>99</v>
      </c>
      <c r="C45" s="95" t="s">
        <v>100</v>
      </c>
      <c r="D45" s="73" t="e">
        <f aca="false">IF(D44, G44, (((Cdvdt_ext+0.07)*Vcc_max)/(I_dvdt*Gain_dvdt)))</f>
        <v>#VALUE!</v>
      </c>
      <c r="E45" s="96" t="s">
        <v>83</v>
      </c>
      <c r="F45" s="97" t="n">
        <f aca="false">SQRT(F42^2+F33^2+F34^2)</f>
        <v>0.182756668824971</v>
      </c>
      <c r="G45" s="76"/>
      <c r="L45" s="77"/>
    </row>
    <row r="46" customFormat="false" ht="28.5" hidden="false" customHeight="true" outlineLevel="0" collapsed="false">
      <c r="B46" s="51" t="s">
        <v>101</v>
      </c>
      <c r="C46" s="52" t="s">
        <v>102</v>
      </c>
      <c r="D46" s="81" t="n">
        <f aca="false">0.5*Vcc_max*Icharge</f>
        <v>0.381071428571428</v>
      </c>
      <c r="E46" s="33" t="s">
        <v>103</v>
      </c>
      <c r="F46" s="90"/>
    </row>
    <row r="47" customFormat="false" ht="18" hidden="false" customHeight="true" outlineLevel="0" collapsed="false">
      <c r="B47" s="10"/>
      <c r="C47" s="45"/>
      <c r="D47" s="9"/>
      <c r="E47" s="10"/>
      <c r="F47" s="11"/>
    </row>
    <row r="48" customFormat="false" ht="18" hidden="false" customHeight="true" outlineLevel="0" collapsed="false">
      <c r="B48" s="89" t="s">
        <v>104</v>
      </c>
      <c r="C48" s="89"/>
      <c r="D48" s="89"/>
      <c r="E48" s="89"/>
      <c r="F48" s="49"/>
    </row>
    <row r="49" customFormat="false" ht="18" hidden="false" customHeight="true" outlineLevel="0" collapsed="false">
      <c r="B49" s="51" t="s">
        <v>105</v>
      </c>
      <c r="C49" s="52" t="s">
        <v>106</v>
      </c>
      <c r="D49" s="81" t="n">
        <f aca="false">(1/6)*(Vcc_max^2)/Rlstart</f>
        <v>1.04166666666667</v>
      </c>
      <c r="E49" s="54" t="s">
        <v>103</v>
      </c>
      <c r="F49" s="55"/>
    </row>
    <row r="50" customFormat="false" ht="18" hidden="false" customHeight="true" outlineLevel="0" collapsed="false">
      <c r="B50" s="51" t="s">
        <v>107</v>
      </c>
      <c r="C50" s="52" t="s">
        <v>108</v>
      </c>
      <c r="D50" s="81" t="n">
        <f aca="false">D46+D49</f>
        <v>1.4227380952381</v>
      </c>
      <c r="E50" s="54" t="s">
        <v>103</v>
      </c>
      <c r="F50" s="55"/>
    </row>
    <row r="51" customFormat="false" ht="23.95" hidden="false" customHeight="false" outlineLevel="0" collapsed="false">
      <c r="B51" s="51"/>
      <c r="C51" s="52" t="s">
        <v>109</v>
      </c>
      <c r="D51" s="81" t="e">
        <f aca="false">INDEX('Thermal Shutdown Limit Plot'!A3:E28,MATCH(Tchg_dvdt,'Thermal Shutdown Limit Plot'!E3:E28,-1),1)</f>
        <v>#VALUE!</v>
      </c>
      <c r="E51" s="54" t="s">
        <v>103</v>
      </c>
      <c r="F51" s="55"/>
    </row>
    <row r="52" customFormat="false" ht="18" hidden="false" customHeight="false" outlineLevel="0" collapsed="false">
      <c r="B52" s="51"/>
      <c r="C52" s="110" t="s">
        <v>110</v>
      </c>
      <c r="D52" s="111" t="e">
        <f aca="false">IF(D50&lt;D51,"YES","ND94B3O")</f>
        <v>#VALUE!</v>
      </c>
      <c r="E52" s="54"/>
      <c r="F52" s="55"/>
    </row>
    <row r="53" customFormat="false" ht="18" hidden="false" customHeight="true" outlineLevel="0" collapsed="false">
      <c r="B53" s="10"/>
      <c r="C53" s="45"/>
      <c r="D53" s="9"/>
      <c r="E53" s="10"/>
      <c r="F53" s="11"/>
    </row>
    <row r="54" customFormat="false" ht="20.25" hidden="false" customHeight="true" outlineLevel="0" collapsed="false">
      <c r="B54" s="89" t="s">
        <v>111</v>
      </c>
      <c r="C54" s="89"/>
      <c r="D54" s="89"/>
      <c r="E54" s="89"/>
      <c r="F54" s="49"/>
    </row>
    <row r="55" customFormat="false" ht="18" hidden="false" customHeight="true" outlineLevel="0" collapsed="false">
      <c r="B55" s="99" t="s">
        <v>6</v>
      </c>
      <c r="C55" s="100" t="s">
        <v>7</v>
      </c>
      <c r="D55" s="101" t="s">
        <v>8</v>
      </c>
      <c r="E55" s="102" t="s">
        <v>9</v>
      </c>
      <c r="F55" s="99" t="s">
        <v>10</v>
      </c>
    </row>
    <row r="56" customFormat="false" ht="18" hidden="false" customHeight="true" outlineLevel="0" collapsed="false">
      <c r="B56" s="51" t="s">
        <v>112</v>
      </c>
      <c r="C56" s="52" t="s">
        <v>113</v>
      </c>
      <c r="D56" s="81" t="n">
        <f aca="false">Imax*Rdson_25deg</f>
        <v>29.6</v>
      </c>
      <c r="E56" s="33" t="s">
        <v>114</v>
      </c>
      <c r="F56" s="90"/>
    </row>
    <row r="57" customFormat="false" ht="18" hidden="false" customHeight="true" outlineLevel="0" collapsed="false">
      <c r="B57" s="51" t="s">
        <v>115</v>
      </c>
      <c r="C57" s="52" t="s">
        <v>116</v>
      </c>
      <c r="D57" s="81" t="n">
        <f aca="false">Imax^2*Rdson_25deg</f>
        <v>23.68</v>
      </c>
      <c r="E57" s="33" t="s">
        <v>117</v>
      </c>
      <c r="F57" s="90"/>
    </row>
    <row r="58" customFormat="false" ht="15.75" hidden="false" customHeight="true" outlineLevel="0" collapsed="false">
      <c r="B58" s="112"/>
      <c r="C58" s="113"/>
      <c r="D58" s="9"/>
      <c r="E58" s="114"/>
      <c r="F58" s="11"/>
      <c r="G58" s="115"/>
    </row>
    <row r="59" customFormat="false" ht="18" hidden="false" customHeight="true" outlineLevel="0" collapsed="false">
      <c r="B59" s="10"/>
      <c r="C59" s="45"/>
      <c r="D59" s="9"/>
      <c r="E59" s="114"/>
      <c r="F59" s="11"/>
    </row>
    <row r="60" customFormat="false" ht="18" hidden="false" customHeight="true" outlineLevel="0" collapsed="false">
      <c r="B60" s="10"/>
      <c r="C60" s="45"/>
      <c r="D60" s="9"/>
      <c r="E60" s="114"/>
      <c r="F60" s="11"/>
    </row>
    <row r="61" customFormat="false" ht="18" hidden="false" customHeight="true" outlineLevel="0" collapsed="false">
      <c r="B61" s="116" t="s">
        <v>118</v>
      </c>
      <c r="C61" s="45"/>
      <c r="D61" s="117"/>
      <c r="E61" s="10"/>
      <c r="F61" s="11"/>
    </row>
    <row r="62" customFormat="false" ht="18" hidden="false" customHeight="true" outlineLevel="0" collapsed="false">
      <c r="B62" s="118" t="s">
        <v>119</v>
      </c>
      <c r="C62" s="45"/>
      <c r="D62" s="117"/>
      <c r="E62" s="10"/>
      <c r="F62" s="11"/>
    </row>
    <row r="63" customFormat="false" ht="18" hidden="false" customHeight="true" outlineLevel="0" collapsed="false">
      <c r="B63" s="119" t="s">
        <v>6</v>
      </c>
      <c r="C63" s="120" t="s">
        <v>7</v>
      </c>
      <c r="D63" s="121" t="s">
        <v>8</v>
      </c>
      <c r="E63" s="122" t="s">
        <v>9</v>
      </c>
      <c r="F63" s="119" t="s">
        <v>10</v>
      </c>
    </row>
    <row r="64" customFormat="false" ht="18" hidden="false" customHeight="true" outlineLevel="0" collapsed="false">
      <c r="B64" s="86" t="s">
        <v>120</v>
      </c>
      <c r="C64" s="87" t="s">
        <v>121</v>
      </c>
      <c r="D64" s="123" t="n">
        <v>20</v>
      </c>
      <c r="E64" s="33" t="s">
        <v>20</v>
      </c>
      <c r="F64" s="90"/>
    </row>
    <row r="65" customFormat="false" ht="18" hidden="false" customHeight="true" outlineLevel="0" collapsed="false">
      <c r="B65" s="86" t="s">
        <v>122</v>
      </c>
      <c r="C65" s="87" t="s">
        <v>123</v>
      </c>
      <c r="D65" s="123" t="n">
        <v>5.5</v>
      </c>
      <c r="E65" s="33" t="s">
        <v>37</v>
      </c>
      <c r="F65" s="90"/>
    </row>
    <row r="66" customFormat="false" ht="18" hidden="false" customHeight="true" outlineLevel="0" collapsed="false">
      <c r="B66" s="86" t="s">
        <v>124</v>
      </c>
      <c r="C66" s="87" t="s">
        <v>125</v>
      </c>
      <c r="D66" s="124" t="n">
        <f aca="false">INDEX(V5:V9,MATCH(D5,T5:T9))</f>
        <v>37</v>
      </c>
      <c r="E66" s="33" t="s">
        <v>126</v>
      </c>
      <c r="F66" s="90"/>
    </row>
    <row r="67" customFormat="false" ht="18" hidden="false" customHeight="true" outlineLevel="0" collapsed="false">
      <c r="B67" s="86" t="s">
        <v>127</v>
      </c>
      <c r="C67" s="87" t="s">
        <v>128</v>
      </c>
      <c r="D67" s="124" t="n">
        <f aca="false">INDEX(W5:W9,MATCH(D5,T5:T9))</f>
        <v>48</v>
      </c>
      <c r="E67" s="33" t="s">
        <v>126</v>
      </c>
      <c r="F67" s="90"/>
    </row>
    <row r="68" customFormat="false" ht="18" hidden="false" customHeight="true" outlineLevel="0" collapsed="false">
      <c r="B68" s="118" t="s">
        <v>129</v>
      </c>
      <c r="C68" s="45"/>
      <c r="D68" s="117"/>
      <c r="E68" s="125"/>
      <c r="F68" s="126"/>
    </row>
    <row r="69" customFormat="false" ht="18" hidden="false" customHeight="true" outlineLevel="0" collapsed="false">
      <c r="B69" s="86" t="s">
        <v>130</v>
      </c>
      <c r="C69" s="87" t="s">
        <v>131</v>
      </c>
      <c r="D69" s="123" t="n">
        <v>150</v>
      </c>
      <c r="E69" s="127" t="s">
        <v>132</v>
      </c>
      <c r="F69" s="128"/>
    </row>
    <row r="70" customFormat="false" ht="18" hidden="false" customHeight="true" outlineLevel="0" collapsed="false">
      <c r="B70" s="86" t="s">
        <v>133</v>
      </c>
      <c r="C70" s="87" t="s">
        <v>134</v>
      </c>
      <c r="D70" s="123" t="n">
        <v>125</v>
      </c>
      <c r="E70" s="127" t="s">
        <v>132</v>
      </c>
      <c r="F70" s="128"/>
    </row>
    <row r="71" customFormat="false" ht="18" hidden="false" customHeight="true" outlineLevel="0" collapsed="false">
      <c r="B71" s="86" t="s">
        <v>135</v>
      </c>
      <c r="C71" s="87" t="s">
        <v>136</v>
      </c>
      <c r="D71" s="123" t="n">
        <v>53</v>
      </c>
      <c r="E71" s="127" t="s">
        <v>137</v>
      </c>
      <c r="F71" s="128"/>
    </row>
    <row r="72" customFormat="false" ht="18" hidden="false" customHeight="true" outlineLevel="0" collapsed="false">
      <c r="B72" s="86" t="s">
        <v>138</v>
      </c>
      <c r="C72" s="87" t="s">
        <v>139</v>
      </c>
      <c r="D72" s="123" t="n">
        <v>45.9</v>
      </c>
      <c r="E72" s="127" t="s">
        <v>137</v>
      </c>
      <c r="F72" s="128"/>
    </row>
    <row r="73" customFormat="false" ht="18" hidden="false" customHeight="true" outlineLevel="0" collapsed="false">
      <c r="B73" s="86" t="s">
        <v>140</v>
      </c>
      <c r="C73" s="87" t="s">
        <v>141</v>
      </c>
      <c r="D73" s="123" t="n">
        <v>5.9</v>
      </c>
      <c r="E73" s="127" t="s">
        <v>137</v>
      </c>
      <c r="F73" s="128"/>
    </row>
    <row r="74" customFormat="false" ht="18" hidden="false" customHeight="true" outlineLevel="0" collapsed="false">
      <c r="B74" s="118" t="s">
        <v>142</v>
      </c>
      <c r="C74" s="45"/>
      <c r="D74" s="117"/>
      <c r="E74" s="125"/>
      <c r="F74" s="126"/>
    </row>
    <row r="75" customFormat="false" ht="18" hidden="false" customHeight="true" outlineLevel="0" collapsed="false">
      <c r="B75" s="86" t="s">
        <v>143</v>
      </c>
      <c r="C75" s="87" t="s">
        <v>144</v>
      </c>
      <c r="D75" s="129" t="n">
        <v>1.35</v>
      </c>
      <c r="E75" s="33" t="s">
        <v>20</v>
      </c>
      <c r="F75" s="90" t="n">
        <v>0.03</v>
      </c>
    </row>
    <row r="76" customFormat="false" ht="18" hidden="false" customHeight="true" outlineLevel="0" collapsed="false">
      <c r="B76" s="86" t="s">
        <v>145</v>
      </c>
      <c r="C76" s="87" t="s">
        <v>146</v>
      </c>
      <c r="D76" s="129" t="n">
        <v>0.4</v>
      </c>
      <c r="E76" s="33" t="s">
        <v>83</v>
      </c>
      <c r="F76" s="90"/>
    </row>
    <row r="77" customFormat="false" ht="18" hidden="false" customHeight="true" outlineLevel="0" collapsed="false">
      <c r="B77" s="86" t="s">
        <v>147</v>
      </c>
      <c r="C77" s="87" t="s">
        <v>148</v>
      </c>
      <c r="D77" s="129" t="n">
        <v>0.89</v>
      </c>
      <c r="E77" s="33" t="s">
        <v>20</v>
      </c>
      <c r="F77" s="90"/>
    </row>
    <row r="78" customFormat="false" ht="18" hidden="false" customHeight="true" outlineLevel="0" collapsed="false">
      <c r="B78" s="86" t="s">
        <v>149</v>
      </c>
      <c r="C78" s="87" t="s">
        <v>150</v>
      </c>
      <c r="D78" s="130"/>
      <c r="E78" s="33" t="s">
        <v>37</v>
      </c>
      <c r="F78" s="90"/>
    </row>
  </sheetData>
  <mergeCells count="5">
    <mergeCell ref="G2:G3"/>
    <mergeCell ref="B23:C23"/>
    <mergeCell ref="B31:C31"/>
    <mergeCell ref="B48:E48"/>
    <mergeCell ref="B54:E54"/>
  </mergeCells>
  <conditionalFormatting sqref="D52">
    <cfRule type="cellIs" priority="2" operator="equal" aboveAverage="0" equalAverage="0" bottom="0" percent="0" rank="0" text="" dxfId="0">
      <formula>"YES"</formula>
    </cfRule>
    <cfRule type="cellIs" priority="3" operator="equal" aboveAverage="0" equalAverage="0" bottom="0" percent="0" rank="0" text="" dxfId="1">
      <formula>"NO"</formula>
    </cfRule>
  </conditionalFormatting>
  <dataValidations count="8">
    <dataValidation allowBlank="true" error="Only values less than Ilimit_final will be accepted" errorStyle="stop" errorTitle="Error (Reenter the Value)" operator="lessThan" prompt="Please enter a value less than Ilimit_final" promptTitle="Restriction" showDropDown="false" showErrorMessage="true" showInputMessage="true" sqref="D38" type="decimal">
      <formula1>D27</formula1>
      <formula2>0</formula2>
    </dataValidation>
    <dataValidation allowBlank="false" error="Only values greater than UVref will be accepted" errorStyle="stop" errorTitle="Error (Reenter the Value)" operator="between" prompt="Please enter a value greater than UVref" promptTitle="Restriction" showDropDown="false" showErrorMessage="false" showInputMessage="false" sqref="D7" type="none">
      <formula1>0</formula1>
      <formula2>0</formula2>
    </dataValidation>
    <dataValidation allowBlank="true" error="Start-up Load Resistor is &lt; 1.1*VCC(max)/Ilimit, this will prevent start-up." errorStyle="stop" errorTitle="ERROR!!" operator="greaterThan" prompt="Start-up Load must be &gt; 1.1*VCC(max)/Ilimit" showDropDown="false" showErrorMessage="true" showInputMessage="true" sqref="D9" type="decimal">
      <formula1>G9</formula1>
      <formula2>0</formula2>
    </dataValidation>
    <dataValidation allowBlank="true" error="Only values &gt;= Tchg_fastest will be accepted" errorStyle="stop" errorTitle="Error (Reenter the Value)" operator="greaterThan" prompt="Enter a value &gt;= Tchg_fastest" promptTitle="Restriction" showDropDown="false" showErrorMessage="true" showInputMessage="true" sqref="D37" type="decimal">
      <formula1>D36</formula1>
      <formula2>0</formula2>
    </dataValidation>
    <dataValidation allowBlank="true" error="2 &lt;= Ilimit &lt;= 5" errorStyle="stop" operator="between" prompt="2 &lt;= Ilimit &lt;= 5" showDropDown="false" showErrorMessage="true" showInputMessage="true" sqref="D11" type="decimal">
      <formula1>2</formula1>
      <formula2>5</formula2>
    </dataValidation>
    <dataValidation allowBlank="true" error="Imax &lt;= 5" errorStyle="stop" operator="lessThan" prompt="Imax &lt;= 5" showDropDown="false" showErrorMessage="true" showInputMessage="true" sqref="D10" type="decimal">
      <formula1>5</formula1>
      <formula2>0</formula2>
    </dataValidation>
    <dataValidation allowBlank="true" error="VIN(max) must be &lt; VOVC and Vin(min) &gt;= 4.5V" errorStyle="stop" operator="between" prompt="VIN(max) must be &lt; VOVC &amp; Vin(min) &gt;= 4.5V" showDropDown="false" showErrorMessage="true" showInputMessage="true" sqref="D6" type="decimal">
      <formula1>4.5</formula1>
      <formula2>G5</formula2>
    </dataValidation>
    <dataValidation allowBlank="true" error="Choose from the drop-down list" errorStyle="stop" operator="between" showDropDown="false" showErrorMessage="true" showInputMessage="true" sqref="D5" type="list">
      <formula1>$T$5:$T$9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N99"/>
  <sheetViews>
    <sheetView showFormulas="false" showGridLines="fals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J1" activeCellId="0" sqref="J1"/>
    </sheetView>
  </sheetViews>
  <sheetFormatPr defaultColWidth="9.109375" defaultRowHeight="14.25" customHeight="false" zeroHeight="false" outlineLevelRow="0" outlineLevelCol="0"/>
  <cols>
    <col collapsed="false" customWidth="true" hidden="false" outlineLevel="0" max="1" min="1" style="131" width="19.33"/>
    <col collapsed="false" customWidth="true" hidden="false" outlineLevel="0" max="2" min="2" style="131" width="12.56"/>
    <col collapsed="false" customWidth="true" hidden="false" outlineLevel="0" max="3" min="3" style="131" width="16.56"/>
    <col collapsed="false" customWidth="true" hidden="false" outlineLevel="0" max="4" min="4" style="131" width="15.56"/>
    <col collapsed="false" customWidth="true" hidden="false" outlineLevel="0" max="5" min="5" style="132" width="12.44"/>
    <col collapsed="false" customWidth="false" hidden="false" outlineLevel="0" max="7" min="6" style="132" width="9.11"/>
    <col collapsed="false" customWidth="true" hidden="false" outlineLevel="0" max="8" min="8" style="132" width="13.88"/>
    <col collapsed="false" customWidth="false" hidden="false" outlineLevel="0" max="16384" min="9" style="132" width="9.11"/>
  </cols>
  <sheetData>
    <row r="1" customFormat="false" ht="14.25" hidden="false" customHeight="false" outlineLevel="0" collapsed="false">
      <c r="A1" s="133" t="s">
        <v>151</v>
      </c>
      <c r="B1" s="134"/>
      <c r="C1" s="134"/>
      <c r="D1" s="134"/>
      <c r="H1" s="135" t="s">
        <v>152</v>
      </c>
      <c r="J1" s="133" t="s">
        <v>151</v>
      </c>
      <c r="K1" s="136"/>
      <c r="L1" s="136"/>
      <c r="M1" s="136"/>
      <c r="N1" s="136"/>
    </row>
    <row r="2" customFormat="false" ht="16.5" hidden="false" customHeight="true" outlineLevel="0" collapsed="false">
      <c r="A2" s="137" t="s">
        <v>153</v>
      </c>
      <c r="B2" s="138" t="s">
        <v>154</v>
      </c>
      <c r="C2" s="138" t="s">
        <v>155</v>
      </c>
      <c r="D2" s="138" t="s">
        <v>156</v>
      </c>
      <c r="E2" s="138" t="s">
        <v>157</v>
      </c>
      <c r="J2" s="139"/>
    </row>
    <row r="3" customFormat="false" ht="16.5" hidden="false" customHeight="true" outlineLevel="0" collapsed="false">
      <c r="A3" s="140" t="n">
        <v>0.6</v>
      </c>
      <c r="B3" s="141"/>
      <c r="C3" s="141"/>
      <c r="D3" s="141"/>
      <c r="E3" s="142" t="n">
        <v>11724</v>
      </c>
      <c r="F3" s="143" t="s">
        <v>37</v>
      </c>
      <c r="J3" s="139"/>
    </row>
    <row r="4" customFormat="false" ht="14.25" hidden="false" customHeight="false" outlineLevel="0" collapsed="false">
      <c r="A4" s="140" t="n">
        <v>0.71</v>
      </c>
      <c r="B4" s="141"/>
      <c r="C4" s="141"/>
      <c r="D4" s="141"/>
      <c r="E4" s="142" t="n">
        <v>2292</v>
      </c>
      <c r="F4" s="143" t="s">
        <v>37</v>
      </c>
      <c r="J4" s="139"/>
    </row>
    <row r="5" customFormat="false" ht="14.25" hidden="false" customHeight="false" outlineLevel="0" collapsed="false">
      <c r="A5" s="140" t="n">
        <v>0.78</v>
      </c>
      <c r="B5" s="141"/>
      <c r="C5" s="141"/>
      <c r="D5" s="141"/>
      <c r="E5" s="142" t="n">
        <v>1419</v>
      </c>
      <c r="F5" s="143" t="s">
        <v>37</v>
      </c>
      <c r="J5" s="139"/>
    </row>
    <row r="6" customFormat="false" ht="14.25" hidden="false" customHeight="false" outlineLevel="0" collapsed="false">
      <c r="A6" s="140" t="n">
        <v>1.5</v>
      </c>
      <c r="B6" s="141"/>
      <c r="C6" s="141"/>
      <c r="D6" s="141"/>
      <c r="E6" s="140" t="n">
        <v>118</v>
      </c>
      <c r="F6" s="143" t="s">
        <v>37</v>
      </c>
      <c r="J6" s="139"/>
    </row>
    <row r="7" customFormat="false" ht="14.25" hidden="false" customHeight="false" outlineLevel="0" collapsed="false">
      <c r="A7" s="142" t="n">
        <v>2.06</v>
      </c>
      <c r="B7" s="144"/>
      <c r="C7" s="144"/>
      <c r="D7" s="142" t="n">
        <v>12185</v>
      </c>
      <c r="E7" s="142" t="n">
        <v>50</v>
      </c>
      <c r="F7" s="145" t="s">
        <v>158</v>
      </c>
      <c r="H7" s="146" t="s">
        <v>159</v>
      </c>
      <c r="I7" s="132" t="s">
        <v>160</v>
      </c>
      <c r="J7" s="147" t="s">
        <v>161</v>
      </c>
    </row>
    <row r="8" customFormat="false" ht="14.25" hidden="false" customHeight="false" outlineLevel="0" collapsed="false">
      <c r="A8" s="142" t="n">
        <v>2.14</v>
      </c>
      <c r="B8" s="144"/>
      <c r="C8" s="144"/>
      <c r="D8" s="142" t="n">
        <v>10225</v>
      </c>
      <c r="E8" s="142" t="n">
        <v>42</v>
      </c>
      <c r="F8" s="145" t="s">
        <v>158</v>
      </c>
      <c r="J8" s="147"/>
    </row>
    <row r="9" customFormat="false" ht="14.25" hidden="false" customHeight="false" outlineLevel="0" collapsed="false">
      <c r="A9" s="142" t="n">
        <v>2.25</v>
      </c>
      <c r="B9" s="144"/>
      <c r="C9" s="144"/>
      <c r="D9" s="142" t="n">
        <v>4228</v>
      </c>
      <c r="E9" s="142" t="n">
        <v>37</v>
      </c>
      <c r="F9" s="143" t="s">
        <v>37</v>
      </c>
      <c r="J9" s="147"/>
    </row>
    <row r="10" customFormat="false" ht="14.25" hidden="false" customHeight="false" outlineLevel="0" collapsed="false">
      <c r="A10" s="142" t="n">
        <v>2.41</v>
      </c>
      <c r="B10" s="144"/>
      <c r="C10" s="144"/>
      <c r="D10" s="142" t="n">
        <v>3248</v>
      </c>
      <c r="E10" s="142" t="n">
        <v>30</v>
      </c>
      <c r="F10" s="145" t="s">
        <v>158</v>
      </c>
      <c r="J10" s="139"/>
    </row>
    <row r="11" customFormat="false" ht="14.25" hidden="false" customHeight="false" outlineLevel="0" collapsed="false">
      <c r="A11" s="142" t="n">
        <v>2.57</v>
      </c>
      <c r="B11" s="144"/>
      <c r="C11" s="144"/>
      <c r="D11" s="142" t="n">
        <v>2011</v>
      </c>
      <c r="E11" s="142" t="n">
        <v>25</v>
      </c>
      <c r="F11" s="145" t="s">
        <v>158</v>
      </c>
      <c r="J11" s="139"/>
    </row>
    <row r="12" customFormat="false" ht="14.25" hidden="false" customHeight="false" outlineLevel="0" collapsed="false">
      <c r="A12" s="142" t="n">
        <v>2.74</v>
      </c>
      <c r="B12" s="144"/>
      <c r="C12" s="144"/>
      <c r="D12" s="142" t="n">
        <v>1226</v>
      </c>
      <c r="E12" s="142" t="n">
        <v>20</v>
      </c>
      <c r="F12" s="145" t="s">
        <v>158</v>
      </c>
      <c r="H12" s="148"/>
      <c r="J12" s="149"/>
    </row>
    <row r="13" customFormat="false" ht="14.25" hidden="false" customHeight="false" outlineLevel="0" collapsed="false">
      <c r="A13" s="142" t="n">
        <v>2.87</v>
      </c>
      <c r="B13" s="144"/>
      <c r="C13" s="144"/>
      <c r="D13" s="142" t="n">
        <v>829</v>
      </c>
      <c r="E13" s="142" t="n">
        <v>16</v>
      </c>
      <c r="F13" s="145" t="s">
        <v>158</v>
      </c>
      <c r="J13" s="149"/>
    </row>
    <row r="14" customFormat="false" ht="14.25" hidden="false" customHeight="false" outlineLevel="0" collapsed="false">
      <c r="A14" s="142" t="n">
        <v>3.03</v>
      </c>
      <c r="B14" s="144"/>
      <c r="C14" s="144"/>
      <c r="D14" s="142" t="n">
        <v>516</v>
      </c>
      <c r="E14" s="142" t="n">
        <v>13</v>
      </c>
      <c r="F14" s="145" t="s">
        <v>158</v>
      </c>
    </row>
    <row r="15" customFormat="false" ht="14.25" hidden="false" customHeight="false" outlineLevel="0" collapsed="false">
      <c r="A15" s="142" t="n">
        <v>3.2</v>
      </c>
      <c r="B15" s="144"/>
      <c r="C15" s="142" t="n">
        <v>13698</v>
      </c>
      <c r="D15" s="142" t="n">
        <v>459</v>
      </c>
      <c r="E15" s="142" t="n">
        <v>12</v>
      </c>
      <c r="F15" s="145" t="s">
        <v>158</v>
      </c>
    </row>
    <row r="16" customFormat="false" ht="14.25" hidden="false" customHeight="false" outlineLevel="0" collapsed="false">
      <c r="A16" s="142" t="n">
        <v>3.33</v>
      </c>
      <c r="B16" s="144"/>
      <c r="C16" s="142" t="n">
        <v>9564</v>
      </c>
      <c r="D16" s="142" t="n">
        <v>428</v>
      </c>
      <c r="E16" s="142" t="n">
        <v>10</v>
      </c>
      <c r="F16" s="143" t="s">
        <v>37</v>
      </c>
    </row>
    <row r="17" customFormat="false" ht="14.25" hidden="false" customHeight="false" outlineLevel="0" collapsed="false">
      <c r="A17" s="142" t="n">
        <v>5</v>
      </c>
      <c r="B17" s="144"/>
      <c r="C17" s="142" t="n">
        <v>1096</v>
      </c>
      <c r="D17" s="142" t="n">
        <v>91</v>
      </c>
      <c r="E17" s="142" t="n">
        <v>3.1</v>
      </c>
      <c r="F17" s="143" t="s">
        <v>37</v>
      </c>
    </row>
    <row r="18" customFormat="false" ht="14.25" hidden="false" customHeight="false" outlineLevel="0" collapsed="false">
      <c r="A18" s="142" t="n">
        <v>7.3</v>
      </c>
      <c r="B18" s="144"/>
      <c r="C18" s="142" t="n">
        <v>208</v>
      </c>
      <c r="D18" s="142" t="n">
        <v>22</v>
      </c>
      <c r="E18" s="142" t="n">
        <v>1.4</v>
      </c>
      <c r="F18" s="143" t="s">
        <v>37</v>
      </c>
    </row>
    <row r="19" customFormat="false" ht="14.25" hidden="false" customHeight="false" outlineLevel="0" collapsed="false">
      <c r="A19" s="142" t="n">
        <v>7.8</v>
      </c>
      <c r="B19" s="150" t="n">
        <v>9357</v>
      </c>
      <c r="C19" s="142" t="n">
        <v>160</v>
      </c>
      <c r="D19" s="142" t="n">
        <v>18</v>
      </c>
      <c r="E19" s="142" t="n">
        <v>1.2</v>
      </c>
      <c r="F19" s="145" t="s">
        <v>158</v>
      </c>
    </row>
    <row r="20" customFormat="false" ht="14.25" hidden="false" customHeight="false" outlineLevel="0" collapsed="false">
      <c r="A20" s="142" t="n">
        <v>10</v>
      </c>
      <c r="B20" s="142" t="n">
        <v>867</v>
      </c>
      <c r="C20" s="142" t="n">
        <v>76.5</v>
      </c>
      <c r="D20" s="142" t="n">
        <v>9.85</v>
      </c>
      <c r="E20" s="142" t="n">
        <v>0.88</v>
      </c>
      <c r="F20" s="143" t="s">
        <v>37</v>
      </c>
    </row>
    <row r="21" customFormat="false" ht="14.25" hidden="false" customHeight="false" outlineLevel="0" collapsed="false">
      <c r="A21" s="142" t="n">
        <v>15</v>
      </c>
      <c r="B21" s="142" t="n">
        <v>101</v>
      </c>
      <c r="C21" s="142" t="n">
        <v>19.44</v>
      </c>
      <c r="D21" s="142" t="n">
        <v>3.03</v>
      </c>
      <c r="E21" s="142" t="n">
        <v>0.5</v>
      </c>
      <c r="F21" s="143" t="s">
        <v>37</v>
      </c>
    </row>
    <row r="22" customFormat="false" ht="14.25" hidden="false" customHeight="false" outlineLevel="0" collapsed="false">
      <c r="A22" s="142" t="n">
        <v>20</v>
      </c>
      <c r="B22" s="142" t="n">
        <v>32.7</v>
      </c>
      <c r="C22" s="142" t="n">
        <v>9.33</v>
      </c>
      <c r="D22" s="142" t="n">
        <v>1.72</v>
      </c>
      <c r="E22" s="142" t="n">
        <v>0.33</v>
      </c>
      <c r="F22" s="143" t="s">
        <v>37</v>
      </c>
    </row>
    <row r="23" customFormat="false" ht="14.25" hidden="false" customHeight="false" outlineLevel="0" collapsed="false">
      <c r="A23" s="142" t="n">
        <v>25</v>
      </c>
      <c r="B23" s="142" t="n">
        <v>17.18</v>
      </c>
      <c r="C23" s="142" t="n">
        <v>4.47</v>
      </c>
      <c r="D23" s="142" t="n">
        <v>1.19</v>
      </c>
      <c r="E23" s="142" t="n">
        <v>0.255</v>
      </c>
      <c r="F23" s="143" t="s">
        <v>37</v>
      </c>
    </row>
    <row r="24" customFormat="false" ht="14.25" hidden="false" customHeight="false" outlineLevel="0" collapsed="false">
      <c r="A24" s="142" t="n">
        <v>30</v>
      </c>
      <c r="B24" s="142" t="n">
        <v>10.86</v>
      </c>
      <c r="C24" s="142" t="n">
        <v>2.73</v>
      </c>
      <c r="D24" s="142" t="n">
        <v>0.88</v>
      </c>
      <c r="E24" s="142" t="n">
        <v>0.197</v>
      </c>
      <c r="F24" s="143" t="s">
        <v>37</v>
      </c>
    </row>
    <row r="25" customFormat="false" ht="14.25" hidden="false" customHeight="false" outlineLevel="0" collapsed="false">
      <c r="A25" s="142" t="n">
        <v>35</v>
      </c>
      <c r="B25" s="142" t="n">
        <v>5.96</v>
      </c>
      <c r="C25" s="142" t="n">
        <v>2</v>
      </c>
      <c r="D25" s="142" t="n">
        <v>0.7</v>
      </c>
      <c r="E25" s="142" t="n">
        <v>0.173</v>
      </c>
      <c r="F25" s="143" t="s">
        <v>37</v>
      </c>
    </row>
    <row r="26" customFormat="false" ht="14.25" hidden="false" customHeight="false" outlineLevel="0" collapsed="false">
      <c r="A26" s="142" t="n">
        <v>40</v>
      </c>
      <c r="B26" s="142" t="n">
        <v>4.6315</v>
      </c>
      <c r="C26" s="142" t="n">
        <v>1.78</v>
      </c>
      <c r="D26" s="142" t="n">
        <v>0.611</v>
      </c>
      <c r="E26" s="142" t="n">
        <v>0.164</v>
      </c>
      <c r="F26" s="143" t="s">
        <v>37</v>
      </c>
    </row>
    <row r="27" customFormat="false" ht="14.25" hidden="false" customHeight="false" outlineLevel="0" collapsed="false">
      <c r="A27" s="142" t="n">
        <v>45</v>
      </c>
      <c r="B27" s="142" t="n">
        <v>3.18</v>
      </c>
      <c r="C27" s="142" t="n">
        <v>1.36</v>
      </c>
      <c r="D27" s="142" t="n">
        <v>0.485</v>
      </c>
      <c r="E27" s="142" t="n">
        <v>0.147</v>
      </c>
      <c r="F27" s="143" t="s">
        <v>37</v>
      </c>
    </row>
    <row r="28" customFormat="false" ht="14.25" hidden="false" customHeight="false" outlineLevel="0" collapsed="false">
      <c r="A28" s="142" t="n">
        <v>52</v>
      </c>
      <c r="B28" s="142" t="n">
        <v>2.26</v>
      </c>
      <c r="C28" s="142" t="n">
        <v>1</v>
      </c>
      <c r="D28" s="142" t="n">
        <v>0.4</v>
      </c>
      <c r="E28" s="142" t="n">
        <v>0.11</v>
      </c>
      <c r="F28" s="143" t="s">
        <v>37</v>
      </c>
    </row>
    <row r="29" customFormat="false" ht="14.25" hidden="false" customHeight="false" outlineLevel="0" collapsed="false">
      <c r="B29" s="151"/>
      <c r="C29" s="151"/>
      <c r="D29" s="151"/>
    </row>
    <row r="30" customFormat="false" ht="14.25" hidden="false" customHeight="false" outlineLevel="0" collapsed="false">
      <c r="B30" s="151"/>
      <c r="C30" s="151"/>
      <c r="D30" s="152" t="s">
        <v>162</v>
      </c>
    </row>
    <row r="31" customFormat="false" ht="14.25" hidden="false" customHeight="false" outlineLevel="0" collapsed="false">
      <c r="B31" s="151"/>
      <c r="C31" s="151"/>
      <c r="D31" s="153" t="s">
        <v>163</v>
      </c>
    </row>
    <row r="32" customFormat="false" ht="14.25" hidden="false" customHeight="false" outlineLevel="0" collapsed="false">
      <c r="B32" s="151"/>
      <c r="C32" s="151"/>
      <c r="D32" s="151"/>
    </row>
    <row r="33" customFormat="false" ht="14.25" hidden="false" customHeight="false" outlineLevel="0" collapsed="false">
      <c r="B33" s="151" t="s">
        <v>164</v>
      </c>
      <c r="C33" s="151" t="s">
        <v>165</v>
      </c>
      <c r="D33" s="151"/>
    </row>
    <row r="34" customFormat="false" ht="14.25" hidden="false" customHeight="false" outlineLevel="0" collapsed="false">
      <c r="B34" s="151" t="n">
        <f aca="false">'Calculation Sheet'!D50</f>
        <v>1.4227380952381</v>
      </c>
      <c r="C34" s="151" t="e">
        <f aca="false">Tchg_dvdt</f>
        <v>#VALUE!</v>
      </c>
      <c r="D34" s="151"/>
    </row>
    <row r="35" customFormat="false" ht="14.25" hidden="false" customHeight="false" outlineLevel="0" collapsed="false">
      <c r="B35" s="151"/>
      <c r="C35" s="151"/>
      <c r="D35" s="151"/>
    </row>
    <row r="36" s="132" customFormat="true" ht="14.25" hidden="false" customHeight="false" outlineLevel="0" collapsed="false">
      <c r="B36" s="151"/>
      <c r="C36" s="151"/>
      <c r="D36" s="151"/>
    </row>
    <row r="37" s="132" customFormat="true" ht="14.25" hidden="false" customHeight="false" outlineLevel="0" collapsed="false">
      <c r="B37" s="151"/>
      <c r="C37" s="151"/>
      <c r="D37" s="151"/>
    </row>
    <row r="38" s="132" customFormat="true" ht="14.25" hidden="false" customHeight="false" outlineLevel="0" collapsed="false">
      <c r="B38" s="151"/>
      <c r="C38" s="151"/>
      <c r="D38" s="151"/>
    </row>
    <row r="39" s="132" customFormat="true" ht="14.25" hidden="false" customHeight="false" outlineLevel="0" collapsed="false">
      <c r="B39" s="151"/>
      <c r="C39" s="151"/>
      <c r="D39" s="151"/>
    </row>
    <row r="40" s="132" customFormat="true" ht="14.25" hidden="false" customHeight="false" outlineLevel="0" collapsed="false">
      <c r="B40" s="151"/>
      <c r="C40" s="151"/>
      <c r="D40" s="151"/>
    </row>
    <row r="41" s="132" customFormat="true" ht="14.25" hidden="false" customHeight="false" outlineLevel="0" collapsed="false">
      <c r="B41" s="151"/>
      <c r="C41" s="151"/>
      <c r="D41" s="151"/>
    </row>
    <row r="42" s="132" customFormat="true" ht="14.25" hidden="false" customHeight="false" outlineLevel="0" collapsed="false">
      <c r="B42" s="151"/>
      <c r="C42" s="151"/>
      <c r="D42" s="151"/>
    </row>
    <row r="43" s="132" customFormat="true" ht="14.25" hidden="false" customHeight="false" outlineLevel="0" collapsed="false">
      <c r="B43" s="151"/>
      <c r="C43" s="151"/>
      <c r="D43" s="151"/>
    </row>
    <row r="44" s="132" customFormat="true" ht="14.25" hidden="false" customHeight="false" outlineLevel="0" collapsed="false">
      <c r="B44" s="151"/>
      <c r="C44" s="151"/>
      <c r="D44" s="151"/>
    </row>
    <row r="45" s="132" customFormat="true" ht="14.25" hidden="false" customHeight="false" outlineLevel="0" collapsed="false">
      <c r="B45" s="151"/>
      <c r="C45" s="151"/>
      <c r="D45" s="151"/>
    </row>
    <row r="46" s="132" customFormat="true" ht="14.25" hidden="false" customHeight="false" outlineLevel="0" collapsed="false">
      <c r="B46" s="151"/>
      <c r="C46" s="151"/>
      <c r="D46" s="151"/>
    </row>
    <row r="47" s="132" customFormat="true" ht="14.25" hidden="false" customHeight="false" outlineLevel="0" collapsed="false">
      <c r="B47" s="151"/>
      <c r="C47" s="151"/>
      <c r="D47" s="151"/>
    </row>
    <row r="48" s="132" customFormat="true" ht="14.25" hidden="false" customHeight="false" outlineLevel="0" collapsed="false">
      <c r="B48" s="151"/>
      <c r="C48" s="151"/>
      <c r="D48" s="151"/>
    </row>
    <row r="49" s="132" customFormat="true" ht="14.25" hidden="false" customHeight="false" outlineLevel="0" collapsed="false">
      <c r="B49" s="151"/>
      <c r="C49" s="151"/>
      <c r="D49" s="151"/>
    </row>
    <row r="50" s="132" customFormat="true" ht="14.25" hidden="false" customHeight="false" outlineLevel="0" collapsed="false">
      <c r="B50" s="151"/>
      <c r="C50" s="151"/>
      <c r="D50" s="151"/>
    </row>
    <row r="51" s="132" customFormat="true" ht="14.25" hidden="false" customHeight="false" outlineLevel="0" collapsed="false">
      <c r="B51" s="151"/>
      <c r="C51" s="151"/>
      <c r="D51" s="151"/>
    </row>
    <row r="52" s="132" customFormat="true" ht="14.25" hidden="false" customHeight="false" outlineLevel="0" collapsed="false">
      <c r="B52" s="151"/>
      <c r="C52" s="151"/>
      <c r="D52" s="151"/>
    </row>
    <row r="53" s="132" customFormat="true" ht="14.25" hidden="false" customHeight="false" outlineLevel="0" collapsed="false">
      <c r="B53" s="151"/>
      <c r="C53" s="151"/>
      <c r="D53" s="151"/>
    </row>
    <row r="54" s="132" customFormat="true" ht="14.25" hidden="false" customHeight="false" outlineLevel="0" collapsed="false">
      <c r="B54" s="151"/>
      <c r="C54" s="151"/>
      <c r="D54" s="151"/>
    </row>
    <row r="55" customFormat="false" ht="14.25" hidden="false" customHeight="false" outlineLevel="0" collapsed="false">
      <c r="A55" s="154"/>
      <c r="B55" s="151"/>
      <c r="C55" s="151"/>
      <c r="D55" s="151"/>
    </row>
    <row r="56" customFormat="false" ht="14.25" hidden="false" customHeight="false" outlineLevel="0" collapsed="false">
      <c r="A56" s="154"/>
      <c r="B56" s="151"/>
      <c r="C56" s="151"/>
      <c r="D56" s="151"/>
    </row>
    <row r="57" customFormat="false" ht="14.25" hidden="false" customHeight="false" outlineLevel="0" collapsed="false">
      <c r="A57" s="154"/>
      <c r="B57" s="151"/>
      <c r="C57" s="151"/>
      <c r="D57" s="151"/>
    </row>
    <row r="58" customFormat="false" ht="14.25" hidden="false" customHeight="false" outlineLevel="0" collapsed="false">
      <c r="A58" s="154"/>
      <c r="B58" s="151"/>
      <c r="C58" s="151"/>
      <c r="D58" s="151"/>
    </row>
    <row r="59" customFormat="false" ht="14.25" hidden="false" customHeight="false" outlineLevel="0" collapsed="false">
      <c r="A59" s="154"/>
      <c r="B59" s="151"/>
      <c r="C59" s="151"/>
      <c r="D59" s="151"/>
    </row>
    <row r="60" customFormat="false" ht="14.25" hidden="false" customHeight="false" outlineLevel="0" collapsed="false">
      <c r="A60" s="154"/>
      <c r="B60" s="151"/>
      <c r="C60" s="151"/>
      <c r="D60" s="151"/>
    </row>
    <row r="61" customFormat="false" ht="14.25" hidden="false" customHeight="false" outlineLevel="0" collapsed="false">
      <c r="A61" s="154"/>
      <c r="B61" s="151"/>
      <c r="C61" s="151"/>
      <c r="D61" s="151"/>
    </row>
    <row r="62" customFormat="false" ht="14.25" hidden="false" customHeight="false" outlineLevel="0" collapsed="false">
      <c r="A62" s="154"/>
      <c r="B62" s="151"/>
      <c r="C62" s="151"/>
      <c r="D62" s="151"/>
    </row>
    <row r="63" customFormat="false" ht="14.25" hidden="false" customHeight="false" outlineLevel="0" collapsed="false">
      <c r="A63" s="154"/>
      <c r="B63" s="151"/>
      <c r="C63" s="151"/>
      <c r="D63" s="151"/>
    </row>
    <row r="64" customFormat="false" ht="14.25" hidden="false" customHeight="false" outlineLevel="0" collapsed="false">
      <c r="A64" s="154"/>
      <c r="B64" s="151"/>
      <c r="C64" s="151"/>
      <c r="D64" s="151"/>
    </row>
    <row r="65" customFormat="false" ht="14.25" hidden="false" customHeight="false" outlineLevel="0" collapsed="false">
      <c r="A65" s="154"/>
      <c r="B65" s="151"/>
      <c r="C65" s="151"/>
      <c r="D65" s="151"/>
    </row>
    <row r="66" customFormat="false" ht="14.25" hidden="false" customHeight="false" outlineLevel="0" collapsed="false">
      <c r="A66" s="154"/>
      <c r="B66" s="151"/>
      <c r="C66" s="151"/>
      <c r="D66" s="151"/>
    </row>
    <row r="67" customFormat="false" ht="14.25" hidden="false" customHeight="false" outlineLevel="0" collapsed="false">
      <c r="A67" s="154"/>
      <c r="B67" s="151"/>
      <c r="C67" s="151"/>
      <c r="D67" s="151"/>
    </row>
    <row r="68" customFormat="false" ht="14.25" hidden="false" customHeight="false" outlineLevel="0" collapsed="false">
      <c r="A68" s="154"/>
      <c r="B68" s="151"/>
      <c r="C68" s="151"/>
      <c r="D68" s="151"/>
    </row>
    <row r="69" customFormat="false" ht="14.25" hidden="false" customHeight="false" outlineLevel="0" collapsed="false">
      <c r="A69" s="154"/>
      <c r="B69" s="151"/>
      <c r="C69" s="151"/>
      <c r="D69" s="151"/>
    </row>
    <row r="70" customFormat="false" ht="14.25" hidden="false" customHeight="false" outlineLevel="0" collapsed="false">
      <c r="A70" s="154"/>
      <c r="B70" s="151"/>
      <c r="C70" s="151"/>
      <c r="D70" s="151"/>
    </row>
    <row r="71" customFormat="false" ht="14.25" hidden="false" customHeight="false" outlineLevel="0" collapsed="false">
      <c r="A71" s="154"/>
      <c r="B71" s="151"/>
      <c r="C71" s="151"/>
      <c r="D71" s="151"/>
    </row>
    <row r="72" customFormat="false" ht="14.25" hidden="false" customHeight="false" outlineLevel="0" collapsed="false">
      <c r="A72" s="154"/>
      <c r="B72" s="151"/>
      <c r="C72" s="151"/>
      <c r="D72" s="151"/>
    </row>
    <row r="73" customFormat="false" ht="14.25" hidden="false" customHeight="false" outlineLevel="0" collapsed="false">
      <c r="A73" s="154"/>
      <c r="B73" s="151"/>
      <c r="C73" s="151"/>
      <c r="D73" s="151"/>
    </row>
    <row r="74" customFormat="false" ht="14.25" hidden="false" customHeight="false" outlineLevel="0" collapsed="false">
      <c r="A74" s="154"/>
      <c r="B74" s="151"/>
      <c r="C74" s="151"/>
      <c r="D74" s="151"/>
    </row>
    <row r="75" customFormat="false" ht="14.25" hidden="false" customHeight="false" outlineLevel="0" collapsed="false">
      <c r="A75" s="154"/>
      <c r="B75" s="151"/>
      <c r="C75" s="151"/>
      <c r="D75" s="151"/>
    </row>
    <row r="76" s="132" customFormat="true" ht="14.25" hidden="false" customHeight="false" outlineLevel="0" collapsed="false">
      <c r="B76" s="151"/>
      <c r="C76" s="151"/>
      <c r="D76" s="151"/>
    </row>
    <row r="77" s="132" customFormat="true" ht="14.25" hidden="false" customHeight="false" outlineLevel="0" collapsed="false">
      <c r="B77" s="151"/>
      <c r="C77" s="151"/>
      <c r="D77" s="151"/>
    </row>
    <row r="78" s="132" customFormat="true" ht="14.25" hidden="false" customHeight="false" outlineLevel="0" collapsed="false">
      <c r="B78" s="151"/>
      <c r="C78" s="151"/>
      <c r="D78" s="151"/>
    </row>
    <row r="79" s="132" customFormat="true" ht="14.25" hidden="false" customHeight="false" outlineLevel="0" collapsed="false">
      <c r="B79" s="151"/>
      <c r="C79" s="151"/>
      <c r="D79" s="151"/>
    </row>
    <row r="80" s="132" customFormat="true" ht="14.25" hidden="false" customHeight="false" outlineLevel="0" collapsed="false">
      <c r="B80" s="151"/>
      <c r="C80" s="151"/>
      <c r="D80" s="151"/>
    </row>
    <row r="81" s="132" customFormat="true" ht="14.25" hidden="false" customHeight="false" outlineLevel="0" collapsed="false">
      <c r="B81" s="151"/>
      <c r="C81" s="151"/>
      <c r="D81" s="151"/>
    </row>
    <row r="82" s="132" customFormat="true" ht="14.25" hidden="false" customHeight="false" outlineLevel="0" collapsed="false">
      <c r="B82" s="151"/>
      <c r="C82" s="151"/>
      <c r="D82" s="151"/>
    </row>
    <row r="83" s="132" customFormat="true" ht="14.25" hidden="false" customHeight="false" outlineLevel="0" collapsed="false">
      <c r="B83" s="151"/>
      <c r="C83" s="151"/>
      <c r="D83" s="151"/>
    </row>
    <row r="84" s="132" customFormat="true" ht="14.25" hidden="false" customHeight="false" outlineLevel="0" collapsed="false">
      <c r="B84" s="151"/>
      <c r="C84" s="151"/>
      <c r="D84" s="151"/>
    </row>
    <row r="85" s="132" customFormat="true" ht="14.25" hidden="false" customHeight="false" outlineLevel="0" collapsed="false">
      <c r="B85" s="151"/>
      <c r="C85" s="151"/>
      <c r="D85" s="151"/>
    </row>
    <row r="86" s="132" customFormat="true" ht="14.25" hidden="false" customHeight="false" outlineLevel="0" collapsed="false">
      <c r="B86" s="151"/>
      <c r="C86" s="151"/>
      <c r="D86" s="151"/>
    </row>
    <row r="87" s="132" customFormat="true" ht="14.25" hidden="false" customHeight="false" outlineLevel="0" collapsed="false">
      <c r="B87" s="151"/>
      <c r="C87" s="151"/>
      <c r="D87" s="151"/>
    </row>
    <row r="88" s="132" customFormat="true" ht="14.25" hidden="false" customHeight="false" outlineLevel="0" collapsed="false">
      <c r="B88" s="151"/>
      <c r="C88" s="151"/>
      <c r="D88" s="151"/>
    </row>
    <row r="89" s="132" customFormat="true" ht="14.25" hidden="false" customHeight="false" outlineLevel="0" collapsed="false">
      <c r="B89" s="151"/>
      <c r="C89" s="151"/>
      <c r="D89" s="151"/>
    </row>
    <row r="90" s="132" customFormat="true" ht="14.25" hidden="false" customHeight="false" outlineLevel="0" collapsed="false">
      <c r="B90" s="151"/>
      <c r="C90" s="151"/>
      <c r="D90" s="151"/>
    </row>
    <row r="91" s="132" customFormat="true" ht="14.25" hidden="false" customHeight="false" outlineLevel="0" collapsed="false">
      <c r="B91" s="151"/>
      <c r="C91" s="151"/>
      <c r="D91" s="151"/>
    </row>
    <row r="92" customFormat="false" ht="14.25" hidden="false" customHeight="false" outlineLevel="0" collapsed="false">
      <c r="B92" s="151"/>
      <c r="C92" s="151"/>
      <c r="D92" s="151"/>
    </row>
    <row r="93" customFormat="false" ht="14.25" hidden="false" customHeight="false" outlineLevel="0" collapsed="false">
      <c r="B93" s="151"/>
      <c r="C93" s="151"/>
      <c r="D93" s="151"/>
    </row>
    <row r="94" customFormat="false" ht="14.25" hidden="false" customHeight="false" outlineLevel="0" collapsed="false">
      <c r="B94" s="151"/>
      <c r="C94" s="151"/>
      <c r="D94" s="151"/>
    </row>
    <row r="95" customFormat="false" ht="14.25" hidden="false" customHeight="false" outlineLevel="0" collapsed="false">
      <c r="B95" s="151"/>
      <c r="C95" s="151"/>
      <c r="D95" s="151"/>
    </row>
    <row r="96" customFormat="false" ht="14.25" hidden="false" customHeight="false" outlineLevel="0" collapsed="false">
      <c r="B96" s="151"/>
      <c r="C96" s="151"/>
      <c r="D96" s="151"/>
    </row>
    <row r="97" customFormat="false" ht="14.25" hidden="false" customHeight="false" outlineLevel="0" collapsed="false">
      <c r="B97" s="151"/>
      <c r="C97" s="151"/>
      <c r="D97" s="151"/>
    </row>
    <row r="98" customFormat="false" ht="14.25" hidden="false" customHeight="false" outlineLevel="0" collapsed="false">
      <c r="A98" s="151"/>
      <c r="B98" s="151"/>
      <c r="C98" s="151"/>
      <c r="D98" s="151"/>
    </row>
    <row r="99" customFormat="false" ht="14.25" hidden="false" customHeight="false" outlineLevel="0" collapsed="false">
      <c r="A99" s="151"/>
      <c r="B99" s="151"/>
      <c r="C99" s="151"/>
      <c r="D99" s="15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G170" activeCellId="0" sqref="G170"/>
    </sheetView>
  </sheetViews>
  <sheetFormatPr defaultColWidth="8.2734375" defaultRowHeight="14.25" customHeight="false" zeroHeight="false" outlineLevelRow="0" outlineLevelCol="0"/>
  <cols>
    <col collapsed="false" customWidth="true" hidden="false" outlineLevel="0" max="6" min="1" style="0" width="18.67"/>
    <col collapsed="false" customWidth="true" hidden="false" outlineLevel="0" max="262" min="257" style="0" width="18.67"/>
    <col collapsed="false" customWidth="true" hidden="false" outlineLevel="0" max="518" min="513" style="0" width="18.67"/>
    <col collapsed="false" customWidth="true" hidden="false" outlineLevel="0" max="774" min="769" style="0" width="18.67"/>
    <col collapsed="false" customWidth="true" hidden="false" outlineLevel="0" max="1030" min="1025" style="0" width="18.67"/>
    <col collapsed="false" customWidth="true" hidden="false" outlineLevel="0" max="1286" min="1281" style="0" width="18.67"/>
    <col collapsed="false" customWidth="true" hidden="false" outlineLevel="0" max="1542" min="1537" style="0" width="18.67"/>
    <col collapsed="false" customWidth="true" hidden="false" outlineLevel="0" max="1798" min="1793" style="0" width="18.67"/>
    <col collapsed="false" customWidth="true" hidden="false" outlineLevel="0" max="2054" min="2049" style="0" width="18.67"/>
    <col collapsed="false" customWidth="true" hidden="false" outlineLevel="0" max="2310" min="2305" style="0" width="18.67"/>
    <col collapsed="false" customWidth="true" hidden="false" outlineLevel="0" max="2566" min="2561" style="0" width="18.67"/>
    <col collapsed="false" customWidth="true" hidden="false" outlineLevel="0" max="2822" min="2817" style="0" width="18.67"/>
    <col collapsed="false" customWidth="true" hidden="false" outlineLevel="0" max="3078" min="3073" style="0" width="18.67"/>
    <col collapsed="false" customWidth="true" hidden="false" outlineLevel="0" max="3334" min="3329" style="0" width="18.67"/>
    <col collapsed="false" customWidth="true" hidden="false" outlineLevel="0" max="3590" min="3585" style="0" width="18.67"/>
    <col collapsed="false" customWidth="true" hidden="false" outlineLevel="0" max="3846" min="3841" style="0" width="18.67"/>
    <col collapsed="false" customWidth="true" hidden="false" outlineLevel="0" max="4102" min="4097" style="0" width="18.67"/>
    <col collapsed="false" customWidth="true" hidden="false" outlineLevel="0" max="4358" min="4353" style="0" width="18.67"/>
    <col collapsed="false" customWidth="true" hidden="false" outlineLevel="0" max="4614" min="4609" style="0" width="18.67"/>
    <col collapsed="false" customWidth="true" hidden="false" outlineLevel="0" max="4870" min="4865" style="0" width="18.67"/>
    <col collapsed="false" customWidth="true" hidden="false" outlineLevel="0" max="5126" min="5121" style="0" width="18.67"/>
    <col collapsed="false" customWidth="true" hidden="false" outlineLevel="0" max="5382" min="5377" style="0" width="18.67"/>
    <col collapsed="false" customWidth="true" hidden="false" outlineLevel="0" max="5638" min="5633" style="0" width="18.67"/>
    <col collapsed="false" customWidth="true" hidden="false" outlineLevel="0" max="5894" min="5889" style="0" width="18.67"/>
    <col collapsed="false" customWidth="true" hidden="false" outlineLevel="0" max="6150" min="6145" style="0" width="18.67"/>
    <col collapsed="false" customWidth="true" hidden="false" outlineLevel="0" max="6406" min="6401" style="0" width="18.67"/>
    <col collapsed="false" customWidth="true" hidden="false" outlineLevel="0" max="6662" min="6657" style="0" width="18.67"/>
    <col collapsed="false" customWidth="true" hidden="false" outlineLevel="0" max="6918" min="6913" style="0" width="18.67"/>
    <col collapsed="false" customWidth="true" hidden="false" outlineLevel="0" max="7174" min="7169" style="0" width="18.67"/>
    <col collapsed="false" customWidth="true" hidden="false" outlineLevel="0" max="7430" min="7425" style="0" width="18.67"/>
    <col collapsed="false" customWidth="true" hidden="false" outlineLevel="0" max="7686" min="7681" style="0" width="18.67"/>
    <col collapsed="false" customWidth="true" hidden="false" outlineLevel="0" max="7942" min="7937" style="0" width="18.67"/>
    <col collapsed="false" customWidth="true" hidden="false" outlineLevel="0" max="8198" min="8193" style="0" width="18.67"/>
    <col collapsed="false" customWidth="true" hidden="false" outlineLevel="0" max="8454" min="8449" style="0" width="18.67"/>
    <col collapsed="false" customWidth="true" hidden="false" outlineLevel="0" max="8710" min="8705" style="0" width="18.67"/>
    <col collapsed="false" customWidth="true" hidden="false" outlineLevel="0" max="8966" min="8961" style="0" width="18.67"/>
    <col collapsed="false" customWidth="true" hidden="false" outlineLevel="0" max="9222" min="9217" style="0" width="18.67"/>
    <col collapsed="false" customWidth="true" hidden="false" outlineLevel="0" max="9478" min="9473" style="0" width="18.67"/>
    <col collapsed="false" customWidth="true" hidden="false" outlineLevel="0" max="9734" min="9729" style="0" width="18.67"/>
    <col collapsed="false" customWidth="true" hidden="false" outlineLevel="0" max="9990" min="9985" style="0" width="18.67"/>
    <col collapsed="false" customWidth="true" hidden="false" outlineLevel="0" max="10246" min="10241" style="0" width="18.67"/>
    <col collapsed="false" customWidth="true" hidden="false" outlineLevel="0" max="10502" min="10497" style="0" width="18.67"/>
    <col collapsed="false" customWidth="true" hidden="false" outlineLevel="0" max="10758" min="10753" style="0" width="18.67"/>
    <col collapsed="false" customWidth="true" hidden="false" outlineLevel="0" max="11014" min="11009" style="0" width="18.67"/>
    <col collapsed="false" customWidth="true" hidden="false" outlineLevel="0" max="11270" min="11265" style="0" width="18.67"/>
    <col collapsed="false" customWidth="true" hidden="false" outlineLevel="0" max="11526" min="11521" style="0" width="18.67"/>
    <col collapsed="false" customWidth="true" hidden="false" outlineLevel="0" max="11782" min="11777" style="0" width="18.67"/>
    <col collapsed="false" customWidth="true" hidden="false" outlineLevel="0" max="12038" min="12033" style="0" width="18.67"/>
    <col collapsed="false" customWidth="true" hidden="false" outlineLevel="0" max="12294" min="12289" style="0" width="18.67"/>
    <col collapsed="false" customWidth="true" hidden="false" outlineLevel="0" max="12550" min="12545" style="0" width="18.67"/>
    <col collapsed="false" customWidth="true" hidden="false" outlineLevel="0" max="12806" min="12801" style="0" width="18.67"/>
    <col collapsed="false" customWidth="true" hidden="false" outlineLevel="0" max="13062" min="13057" style="0" width="18.67"/>
    <col collapsed="false" customWidth="true" hidden="false" outlineLevel="0" max="13318" min="13313" style="0" width="18.67"/>
    <col collapsed="false" customWidth="true" hidden="false" outlineLevel="0" max="13574" min="13569" style="0" width="18.67"/>
    <col collapsed="false" customWidth="true" hidden="false" outlineLevel="0" max="13830" min="13825" style="0" width="18.67"/>
    <col collapsed="false" customWidth="true" hidden="false" outlineLevel="0" max="14086" min="14081" style="0" width="18.67"/>
    <col collapsed="false" customWidth="true" hidden="false" outlineLevel="0" max="14342" min="14337" style="0" width="18.67"/>
    <col collapsed="false" customWidth="true" hidden="false" outlineLevel="0" max="14598" min="14593" style="0" width="18.67"/>
    <col collapsed="false" customWidth="true" hidden="false" outlineLevel="0" max="14854" min="14849" style="0" width="18.67"/>
    <col collapsed="false" customWidth="true" hidden="false" outlineLevel="0" max="15110" min="15105" style="0" width="18.67"/>
    <col collapsed="false" customWidth="true" hidden="false" outlineLevel="0" max="15366" min="15361" style="0" width="18.67"/>
    <col collapsed="false" customWidth="true" hidden="false" outlineLevel="0" max="15622" min="15617" style="0" width="18.67"/>
    <col collapsed="false" customWidth="true" hidden="false" outlineLevel="0" max="15878" min="15873" style="0" width="18.67"/>
    <col collapsed="false" customWidth="true" hidden="false" outlineLevel="0" max="16134" min="16129" style="0" width="18.67"/>
  </cols>
  <sheetData>
    <row r="1" customFormat="false" ht="19.7" hidden="false" customHeight="false" outlineLevel="0" collapsed="false">
      <c r="A1" s="155" t="s">
        <v>166</v>
      </c>
      <c r="B1" s="155"/>
      <c r="C1" s="155"/>
      <c r="D1" s="155"/>
      <c r="E1" s="155"/>
      <c r="F1" s="155"/>
    </row>
    <row r="3" customFormat="false" ht="14.25" hidden="false" customHeight="false" outlineLevel="0" collapsed="false">
      <c r="A3" s="156" t="n">
        <v>0.2</v>
      </c>
      <c r="B3" s="156" t="n">
        <v>0.1</v>
      </c>
      <c r="C3" s="156" t="n">
        <v>0.05</v>
      </c>
      <c r="D3" s="156" t="n">
        <v>0.02</v>
      </c>
      <c r="E3" s="156" t="n">
        <v>0.01</v>
      </c>
      <c r="F3" s="131" t="s">
        <v>167</v>
      </c>
    </row>
    <row r="4" customFormat="false" ht="14.25" hidden="false" customHeight="false" outlineLevel="0" collapsed="false">
      <c r="A4" s="157" t="s">
        <v>168</v>
      </c>
      <c r="B4" s="157" t="s">
        <v>169</v>
      </c>
      <c r="C4" s="157" t="s">
        <v>170</v>
      </c>
      <c r="D4" s="157" t="s">
        <v>171</v>
      </c>
      <c r="E4" s="157" t="s">
        <v>172</v>
      </c>
      <c r="F4" s="157" t="s">
        <v>173</v>
      </c>
    </row>
    <row r="5" customFormat="false" ht="14.25" hidden="false" customHeight="false" outlineLevel="0" collapsed="false">
      <c r="A5" s="158" t="n">
        <v>100</v>
      </c>
      <c r="B5" s="159" t="n">
        <v>100</v>
      </c>
      <c r="C5" s="160" t="n">
        <v>100</v>
      </c>
      <c r="D5" s="161" t="n">
        <v>100</v>
      </c>
      <c r="E5" s="162" t="n">
        <v>100</v>
      </c>
      <c r="F5" s="163" t="n">
        <v>100</v>
      </c>
    </row>
    <row r="6" customFormat="false" ht="14.25" hidden="false" customHeight="false" outlineLevel="0" collapsed="false">
      <c r="A6" s="158"/>
      <c r="B6" s="159"/>
      <c r="C6" s="160"/>
      <c r="D6" s="161"/>
      <c r="E6" s="162"/>
      <c r="F6" s="163" t="n">
        <v>101</v>
      </c>
    </row>
    <row r="7" customFormat="false" ht="14.25" hidden="false" customHeight="false" outlineLevel="0" collapsed="false">
      <c r="A7" s="158"/>
      <c r="B7" s="159"/>
      <c r="C7" s="160"/>
      <c r="D7" s="161"/>
      <c r="E7" s="162" t="n">
        <v>102</v>
      </c>
      <c r="F7" s="163" t="n">
        <v>102</v>
      </c>
    </row>
    <row r="8" customFormat="false" ht="14.25" hidden="false" customHeight="false" outlineLevel="0" collapsed="false">
      <c r="A8" s="158"/>
      <c r="B8" s="159"/>
      <c r="C8" s="160"/>
      <c r="D8" s="161"/>
      <c r="E8" s="162"/>
      <c r="F8" s="163" t="n">
        <v>104</v>
      </c>
    </row>
    <row r="9" customFormat="false" ht="14.25" hidden="false" customHeight="false" outlineLevel="0" collapsed="false">
      <c r="A9" s="158"/>
      <c r="B9" s="159"/>
      <c r="C9" s="160"/>
      <c r="D9" s="161" t="n">
        <v>105</v>
      </c>
      <c r="E9" s="162" t="n">
        <v>105</v>
      </c>
      <c r="F9" s="163" t="n">
        <v>105</v>
      </c>
    </row>
    <row r="10" customFormat="false" ht="14.25" hidden="false" customHeight="false" outlineLevel="0" collapsed="false">
      <c r="A10" s="158"/>
      <c r="B10" s="159"/>
      <c r="C10" s="160"/>
      <c r="D10" s="161"/>
      <c r="E10" s="162"/>
      <c r="F10" s="163" t="n">
        <v>106</v>
      </c>
      <c r="I10" s="164"/>
    </row>
    <row r="11" customFormat="false" ht="14.25" hidden="false" customHeight="false" outlineLevel="0" collapsed="false">
      <c r="A11" s="158"/>
      <c r="B11" s="159"/>
      <c r="C11" s="160"/>
      <c r="D11" s="161"/>
      <c r="E11" s="162" t="n">
        <v>107</v>
      </c>
      <c r="F11" s="163" t="n">
        <v>107</v>
      </c>
    </row>
    <row r="12" customFormat="false" ht="14.25" hidden="false" customHeight="false" outlineLevel="0" collapsed="false">
      <c r="A12" s="158"/>
      <c r="B12" s="159"/>
      <c r="C12" s="160"/>
      <c r="D12" s="161"/>
      <c r="E12" s="162"/>
      <c r="F12" s="163" t="n">
        <v>109</v>
      </c>
    </row>
    <row r="13" customFormat="false" ht="14.25" hidden="false" customHeight="false" outlineLevel="0" collapsed="false">
      <c r="A13" s="158"/>
      <c r="B13" s="159"/>
      <c r="C13" s="160" t="n">
        <v>110</v>
      </c>
      <c r="D13" s="161" t="n">
        <v>110</v>
      </c>
      <c r="E13" s="162" t="n">
        <v>110</v>
      </c>
      <c r="F13" s="163" t="n">
        <v>110</v>
      </c>
    </row>
    <row r="14" customFormat="false" ht="14.25" hidden="false" customHeight="false" outlineLevel="0" collapsed="false">
      <c r="A14" s="158"/>
      <c r="B14" s="159"/>
      <c r="C14" s="160"/>
      <c r="D14" s="161"/>
      <c r="E14" s="162"/>
      <c r="F14" s="163" t="n">
        <v>111</v>
      </c>
    </row>
    <row r="15" customFormat="false" ht="14.25" hidden="false" customHeight="false" outlineLevel="0" collapsed="false">
      <c r="A15" s="158"/>
      <c r="B15" s="159"/>
      <c r="C15" s="160"/>
      <c r="D15" s="161"/>
      <c r="E15" s="162" t="n">
        <v>113</v>
      </c>
      <c r="F15" s="163" t="n">
        <v>113</v>
      </c>
    </row>
    <row r="16" customFormat="false" ht="14.25" hidden="false" customHeight="false" outlineLevel="0" collapsed="false">
      <c r="A16" s="158"/>
      <c r="B16" s="159"/>
      <c r="C16" s="160"/>
      <c r="D16" s="161"/>
      <c r="E16" s="162"/>
      <c r="F16" s="163" t="n">
        <v>114</v>
      </c>
    </row>
    <row r="17" customFormat="false" ht="14.25" hidden="false" customHeight="false" outlineLevel="0" collapsed="false">
      <c r="A17" s="158"/>
      <c r="B17" s="159"/>
      <c r="C17" s="160"/>
      <c r="D17" s="161" t="n">
        <v>115</v>
      </c>
      <c r="E17" s="162" t="n">
        <v>115</v>
      </c>
      <c r="F17" s="163" t="n">
        <v>115</v>
      </c>
    </row>
    <row r="18" customFormat="false" ht="14.25" hidden="false" customHeight="false" outlineLevel="0" collapsed="false">
      <c r="A18" s="158"/>
      <c r="B18" s="159"/>
      <c r="C18" s="160"/>
      <c r="D18" s="161"/>
      <c r="E18" s="162"/>
      <c r="F18" s="163" t="n">
        <v>117</v>
      </c>
    </row>
    <row r="19" customFormat="false" ht="14.25" hidden="false" customHeight="false" outlineLevel="0" collapsed="false">
      <c r="A19" s="158"/>
      <c r="B19" s="159"/>
      <c r="C19" s="160"/>
      <c r="D19" s="161"/>
      <c r="E19" s="162" t="n">
        <v>118</v>
      </c>
      <c r="F19" s="163" t="n">
        <v>118</v>
      </c>
    </row>
    <row r="20" customFormat="false" ht="14.25" hidden="false" customHeight="false" outlineLevel="0" collapsed="false">
      <c r="A20" s="158"/>
      <c r="B20" s="159"/>
      <c r="C20" s="160"/>
      <c r="D20" s="161"/>
      <c r="E20" s="162"/>
      <c r="F20" s="163" t="n">
        <v>120</v>
      </c>
    </row>
    <row r="21" customFormat="false" ht="14.25" hidden="false" customHeight="false" outlineLevel="0" collapsed="false">
      <c r="A21" s="158"/>
      <c r="B21" s="159" t="n">
        <v>120</v>
      </c>
      <c r="C21" s="160" t="n">
        <v>120</v>
      </c>
      <c r="D21" s="161" t="n">
        <v>121</v>
      </c>
      <c r="E21" s="162" t="n">
        <v>121</v>
      </c>
      <c r="F21" s="163" t="n">
        <v>121</v>
      </c>
    </row>
    <row r="22" customFormat="false" ht="14.25" hidden="false" customHeight="false" outlineLevel="0" collapsed="false">
      <c r="A22" s="158"/>
      <c r="B22" s="159"/>
      <c r="C22" s="160"/>
      <c r="D22" s="161"/>
      <c r="E22" s="162"/>
      <c r="F22" s="163" t="n">
        <v>123</v>
      </c>
    </row>
    <row r="23" customFormat="false" ht="14.25" hidden="false" customHeight="false" outlineLevel="0" collapsed="false">
      <c r="A23" s="158"/>
      <c r="B23" s="159"/>
      <c r="C23" s="160"/>
      <c r="D23" s="161"/>
      <c r="E23" s="162" t="n">
        <v>124</v>
      </c>
      <c r="F23" s="163" t="n">
        <v>124</v>
      </c>
    </row>
    <row r="24" customFormat="false" ht="14.25" hidden="false" customHeight="false" outlineLevel="0" collapsed="false">
      <c r="A24" s="158"/>
      <c r="B24" s="159"/>
      <c r="C24" s="160"/>
      <c r="D24" s="161"/>
      <c r="E24" s="162"/>
      <c r="F24" s="163" t="n">
        <v>126</v>
      </c>
    </row>
    <row r="25" customFormat="false" ht="14.25" hidden="false" customHeight="false" outlineLevel="0" collapsed="false">
      <c r="A25" s="158"/>
      <c r="B25" s="159"/>
      <c r="C25" s="160"/>
      <c r="D25" s="161" t="n">
        <v>127</v>
      </c>
      <c r="E25" s="162" t="n">
        <v>127</v>
      </c>
      <c r="F25" s="163" t="n">
        <v>127</v>
      </c>
    </row>
    <row r="26" customFormat="false" ht="14.25" hidden="false" customHeight="false" outlineLevel="0" collapsed="false">
      <c r="A26" s="158"/>
      <c r="B26" s="159"/>
      <c r="C26" s="160"/>
      <c r="D26" s="161"/>
      <c r="E26" s="162"/>
      <c r="F26" s="163" t="n">
        <v>129</v>
      </c>
    </row>
    <row r="27" customFormat="false" ht="14.25" hidden="false" customHeight="false" outlineLevel="0" collapsed="false">
      <c r="A27" s="158"/>
      <c r="B27" s="159"/>
      <c r="C27" s="160"/>
      <c r="D27" s="161"/>
      <c r="E27" s="162" t="n">
        <v>130</v>
      </c>
      <c r="F27" s="163" t="n">
        <v>130</v>
      </c>
    </row>
    <row r="28" customFormat="false" ht="14.25" hidden="false" customHeight="false" outlineLevel="0" collapsed="false">
      <c r="A28" s="158"/>
      <c r="B28" s="159"/>
      <c r="C28" s="160"/>
      <c r="D28" s="161"/>
      <c r="E28" s="162"/>
      <c r="F28" s="163" t="n">
        <v>132</v>
      </c>
    </row>
    <row r="29" customFormat="false" ht="14.25" hidden="false" customHeight="false" outlineLevel="0" collapsed="false">
      <c r="A29" s="158"/>
      <c r="B29" s="159"/>
      <c r="C29" s="160" t="n">
        <v>130</v>
      </c>
      <c r="D29" s="161" t="n">
        <v>133</v>
      </c>
      <c r="E29" s="162" t="n">
        <v>133</v>
      </c>
      <c r="F29" s="163" t="n">
        <v>133</v>
      </c>
    </row>
    <row r="30" customFormat="false" ht="14.25" hidden="false" customHeight="false" outlineLevel="0" collapsed="false">
      <c r="A30" s="158"/>
      <c r="B30" s="159"/>
      <c r="C30" s="160"/>
      <c r="D30" s="161"/>
      <c r="E30" s="162"/>
      <c r="F30" s="163" t="n">
        <v>135</v>
      </c>
    </row>
    <row r="31" customFormat="false" ht="14.25" hidden="false" customHeight="false" outlineLevel="0" collapsed="false">
      <c r="A31" s="158"/>
      <c r="B31" s="159"/>
      <c r="C31" s="160"/>
      <c r="D31" s="161"/>
      <c r="E31" s="162" t="n">
        <v>137</v>
      </c>
      <c r="F31" s="163" t="n">
        <v>137</v>
      </c>
    </row>
    <row r="32" customFormat="false" ht="14.25" hidden="false" customHeight="false" outlineLevel="0" collapsed="false">
      <c r="A32" s="158"/>
      <c r="B32" s="159"/>
      <c r="C32" s="160"/>
      <c r="D32" s="161"/>
      <c r="E32" s="162"/>
      <c r="F32" s="163" t="n">
        <v>138</v>
      </c>
    </row>
    <row r="33" customFormat="false" ht="14.25" hidden="false" customHeight="false" outlineLevel="0" collapsed="false">
      <c r="A33" s="158"/>
      <c r="B33" s="159"/>
      <c r="C33" s="160"/>
      <c r="D33" s="161" t="n">
        <v>140</v>
      </c>
      <c r="E33" s="162" t="n">
        <v>140</v>
      </c>
      <c r="F33" s="163" t="n">
        <v>140</v>
      </c>
    </row>
    <row r="34" customFormat="false" ht="14.25" hidden="false" customHeight="false" outlineLevel="0" collapsed="false">
      <c r="A34" s="158"/>
      <c r="B34" s="159"/>
      <c r="C34" s="160"/>
      <c r="D34" s="161"/>
      <c r="E34" s="162"/>
      <c r="F34" s="163" t="n">
        <v>142</v>
      </c>
    </row>
    <row r="35" customFormat="false" ht="14.25" hidden="false" customHeight="false" outlineLevel="0" collapsed="false">
      <c r="A35" s="158"/>
      <c r="B35" s="159"/>
      <c r="C35" s="160"/>
      <c r="D35" s="161"/>
      <c r="E35" s="162" t="n">
        <v>143</v>
      </c>
      <c r="F35" s="163" t="n">
        <v>143</v>
      </c>
    </row>
    <row r="36" customFormat="false" ht="14.25" hidden="false" customHeight="false" outlineLevel="0" collapsed="false">
      <c r="A36" s="158"/>
      <c r="B36" s="159"/>
      <c r="C36" s="160"/>
      <c r="D36" s="161"/>
      <c r="E36" s="162"/>
      <c r="F36" s="163" t="n">
        <v>145</v>
      </c>
    </row>
    <row r="37" customFormat="false" ht="14.25" hidden="false" customHeight="false" outlineLevel="0" collapsed="false">
      <c r="A37" s="158" t="n">
        <v>150</v>
      </c>
      <c r="B37" s="159" t="n">
        <v>150</v>
      </c>
      <c r="C37" s="160" t="n">
        <v>150</v>
      </c>
      <c r="D37" s="161" t="n">
        <v>147</v>
      </c>
      <c r="E37" s="162" t="n">
        <v>147</v>
      </c>
      <c r="F37" s="163" t="n">
        <v>147</v>
      </c>
    </row>
    <row r="38" customFormat="false" ht="14.25" hidden="false" customHeight="false" outlineLevel="0" collapsed="false">
      <c r="A38" s="158"/>
      <c r="B38" s="159"/>
      <c r="C38" s="160"/>
      <c r="D38" s="161"/>
      <c r="E38" s="162"/>
      <c r="F38" s="163" t="n">
        <v>149</v>
      </c>
    </row>
    <row r="39" customFormat="false" ht="14.25" hidden="false" customHeight="false" outlineLevel="0" collapsed="false">
      <c r="A39" s="158"/>
      <c r="B39" s="159"/>
      <c r="C39" s="160"/>
      <c r="D39" s="161"/>
      <c r="E39" s="162" t="n">
        <v>150</v>
      </c>
      <c r="F39" s="163" t="n">
        <v>150</v>
      </c>
    </row>
    <row r="40" customFormat="false" ht="14.25" hidden="false" customHeight="false" outlineLevel="0" collapsed="false">
      <c r="A40" s="158"/>
      <c r="B40" s="159"/>
      <c r="C40" s="160"/>
      <c r="D40" s="161"/>
      <c r="E40" s="162"/>
      <c r="F40" s="163" t="n">
        <v>152</v>
      </c>
    </row>
    <row r="41" customFormat="false" ht="14.25" hidden="false" customHeight="false" outlineLevel="0" collapsed="false">
      <c r="A41" s="158"/>
      <c r="B41" s="159"/>
      <c r="C41" s="160"/>
      <c r="D41" s="161" t="n">
        <v>154</v>
      </c>
      <c r="E41" s="162" t="n">
        <v>154</v>
      </c>
      <c r="F41" s="163" t="n">
        <v>154</v>
      </c>
    </row>
    <row r="42" customFormat="false" ht="14.25" hidden="false" customHeight="false" outlineLevel="0" collapsed="false">
      <c r="A42" s="158"/>
      <c r="B42" s="159"/>
      <c r="C42" s="160"/>
      <c r="D42" s="161"/>
      <c r="E42" s="162"/>
      <c r="F42" s="163" t="n">
        <v>156</v>
      </c>
    </row>
    <row r="43" customFormat="false" ht="14.25" hidden="false" customHeight="false" outlineLevel="0" collapsed="false">
      <c r="A43" s="158"/>
      <c r="B43" s="159"/>
      <c r="C43" s="160"/>
      <c r="D43" s="161"/>
      <c r="E43" s="162" t="n">
        <v>158</v>
      </c>
      <c r="F43" s="163" t="n">
        <v>158</v>
      </c>
    </row>
    <row r="44" customFormat="false" ht="14.25" hidden="false" customHeight="false" outlineLevel="0" collapsed="false">
      <c r="A44" s="158"/>
      <c r="B44" s="159"/>
      <c r="C44" s="160"/>
      <c r="D44" s="161"/>
      <c r="E44" s="162"/>
      <c r="F44" s="163" t="n">
        <v>160</v>
      </c>
    </row>
    <row r="45" customFormat="false" ht="14.25" hidden="false" customHeight="false" outlineLevel="0" collapsed="false">
      <c r="A45" s="158"/>
      <c r="B45" s="159"/>
      <c r="C45" s="160" t="n">
        <v>160</v>
      </c>
      <c r="D45" s="161" t="n">
        <v>162</v>
      </c>
      <c r="E45" s="162" t="n">
        <v>162</v>
      </c>
      <c r="F45" s="163" t="n">
        <v>162</v>
      </c>
    </row>
    <row r="46" customFormat="false" ht="14.25" hidden="false" customHeight="false" outlineLevel="0" collapsed="false">
      <c r="A46" s="158"/>
      <c r="B46" s="159"/>
      <c r="C46" s="160"/>
      <c r="D46" s="161"/>
      <c r="E46" s="162"/>
      <c r="F46" s="163" t="n">
        <v>164</v>
      </c>
    </row>
    <row r="47" customFormat="false" ht="14.25" hidden="false" customHeight="false" outlineLevel="0" collapsed="false">
      <c r="A47" s="158"/>
      <c r="B47" s="159"/>
      <c r="C47" s="160"/>
      <c r="D47" s="161"/>
      <c r="E47" s="162" t="n">
        <v>165</v>
      </c>
      <c r="F47" s="163" t="n">
        <v>165</v>
      </c>
    </row>
    <row r="48" customFormat="false" ht="14.25" hidden="false" customHeight="false" outlineLevel="0" collapsed="false">
      <c r="A48" s="158"/>
      <c r="B48" s="159"/>
      <c r="C48" s="160"/>
      <c r="D48" s="161"/>
      <c r="E48" s="162"/>
      <c r="F48" s="163" t="n">
        <v>167</v>
      </c>
    </row>
    <row r="49" customFormat="false" ht="14.25" hidden="false" customHeight="false" outlineLevel="0" collapsed="false">
      <c r="A49" s="158"/>
      <c r="B49" s="159"/>
      <c r="C49" s="160"/>
      <c r="D49" s="161" t="n">
        <v>169</v>
      </c>
      <c r="E49" s="162" t="n">
        <v>169</v>
      </c>
      <c r="F49" s="163" t="n">
        <v>169</v>
      </c>
    </row>
    <row r="50" customFormat="false" ht="14.25" hidden="false" customHeight="false" outlineLevel="0" collapsed="false">
      <c r="A50" s="158"/>
      <c r="B50" s="159"/>
      <c r="C50" s="160"/>
      <c r="D50" s="161"/>
      <c r="E50" s="162"/>
      <c r="F50" s="163" t="n">
        <v>172</v>
      </c>
    </row>
    <row r="51" customFormat="false" ht="14.25" hidden="false" customHeight="false" outlineLevel="0" collapsed="false">
      <c r="A51" s="158"/>
      <c r="B51" s="159"/>
      <c r="C51" s="160"/>
      <c r="D51" s="161"/>
      <c r="E51" s="162" t="n">
        <v>174</v>
      </c>
      <c r="F51" s="163" t="n">
        <v>174</v>
      </c>
    </row>
    <row r="52" customFormat="false" ht="14.25" hidden="false" customHeight="false" outlineLevel="0" collapsed="false">
      <c r="A52" s="158"/>
      <c r="B52" s="159"/>
      <c r="C52" s="160"/>
      <c r="D52" s="161"/>
      <c r="E52" s="162"/>
      <c r="F52" s="163" t="n">
        <v>176</v>
      </c>
    </row>
    <row r="53" customFormat="false" ht="14.25" hidden="false" customHeight="false" outlineLevel="0" collapsed="false">
      <c r="A53" s="158"/>
      <c r="B53" s="159" t="n">
        <v>180</v>
      </c>
      <c r="C53" s="160" t="n">
        <v>180</v>
      </c>
      <c r="D53" s="161" t="n">
        <v>178</v>
      </c>
      <c r="E53" s="162" t="n">
        <v>178</v>
      </c>
      <c r="F53" s="163" t="n">
        <v>178</v>
      </c>
    </row>
    <row r="54" customFormat="false" ht="14.25" hidden="false" customHeight="false" outlineLevel="0" collapsed="false">
      <c r="A54" s="158"/>
      <c r="B54" s="159"/>
      <c r="C54" s="160"/>
      <c r="D54" s="161"/>
      <c r="E54" s="162"/>
      <c r="F54" s="163" t="n">
        <v>180</v>
      </c>
    </row>
    <row r="55" customFormat="false" ht="14.25" hidden="false" customHeight="false" outlineLevel="0" collapsed="false">
      <c r="A55" s="158"/>
      <c r="B55" s="159"/>
      <c r="C55" s="160"/>
      <c r="D55" s="161"/>
      <c r="E55" s="162" t="n">
        <v>182</v>
      </c>
      <c r="F55" s="163" t="n">
        <v>182</v>
      </c>
    </row>
    <row r="56" customFormat="false" ht="14.25" hidden="false" customHeight="false" outlineLevel="0" collapsed="false">
      <c r="A56" s="158"/>
      <c r="B56" s="159"/>
      <c r="C56" s="160"/>
      <c r="D56" s="161"/>
      <c r="E56" s="162"/>
      <c r="F56" s="163" t="n">
        <v>184</v>
      </c>
    </row>
    <row r="57" customFormat="false" ht="14.25" hidden="false" customHeight="false" outlineLevel="0" collapsed="false">
      <c r="A57" s="158"/>
      <c r="B57" s="159"/>
      <c r="C57" s="160"/>
      <c r="D57" s="161" t="n">
        <v>187</v>
      </c>
      <c r="E57" s="162" t="n">
        <v>187</v>
      </c>
      <c r="F57" s="163" t="n">
        <v>187</v>
      </c>
    </row>
    <row r="58" customFormat="false" ht="14.25" hidden="false" customHeight="false" outlineLevel="0" collapsed="false">
      <c r="A58" s="158"/>
      <c r="B58" s="159"/>
      <c r="C58" s="160"/>
      <c r="D58" s="161"/>
      <c r="E58" s="162"/>
      <c r="F58" s="163" t="n">
        <v>189</v>
      </c>
    </row>
    <row r="59" customFormat="false" ht="14.25" hidden="false" customHeight="false" outlineLevel="0" collapsed="false">
      <c r="A59" s="158"/>
      <c r="B59" s="159"/>
      <c r="C59" s="160"/>
      <c r="D59" s="161"/>
      <c r="E59" s="162" t="n">
        <v>191</v>
      </c>
      <c r="F59" s="163" t="n">
        <v>191</v>
      </c>
    </row>
    <row r="60" customFormat="false" ht="14.25" hidden="false" customHeight="false" outlineLevel="0" collapsed="false">
      <c r="A60" s="158"/>
      <c r="B60" s="159"/>
      <c r="C60" s="160"/>
      <c r="D60" s="161"/>
      <c r="E60" s="162"/>
      <c r="F60" s="163" t="n">
        <v>193</v>
      </c>
    </row>
    <row r="61" customFormat="false" ht="14.25" hidden="false" customHeight="false" outlineLevel="0" collapsed="false">
      <c r="A61" s="158"/>
      <c r="B61" s="159"/>
      <c r="C61" s="160" t="n">
        <v>200</v>
      </c>
      <c r="D61" s="161" t="n">
        <v>196</v>
      </c>
      <c r="E61" s="162" t="n">
        <v>196</v>
      </c>
      <c r="F61" s="163" t="n">
        <v>196</v>
      </c>
    </row>
    <row r="62" customFormat="false" ht="14.25" hidden="false" customHeight="false" outlineLevel="0" collapsed="false">
      <c r="A62" s="158"/>
      <c r="B62" s="159"/>
      <c r="C62" s="160"/>
      <c r="D62" s="161"/>
      <c r="E62" s="162"/>
      <c r="F62" s="163" t="n">
        <v>198</v>
      </c>
    </row>
    <row r="63" customFormat="false" ht="14.25" hidden="false" customHeight="false" outlineLevel="0" collapsed="false">
      <c r="A63" s="158"/>
      <c r="B63" s="159"/>
      <c r="C63" s="160"/>
      <c r="D63" s="161"/>
      <c r="E63" s="162" t="n">
        <v>200</v>
      </c>
      <c r="F63" s="163" t="n">
        <v>200</v>
      </c>
    </row>
    <row r="64" customFormat="false" ht="14.25" hidden="false" customHeight="false" outlineLevel="0" collapsed="false">
      <c r="A64" s="158"/>
      <c r="B64" s="159"/>
      <c r="C64" s="160"/>
      <c r="D64" s="161"/>
      <c r="E64" s="162"/>
      <c r="F64" s="163" t="n">
        <v>203</v>
      </c>
    </row>
    <row r="65" customFormat="false" ht="14.25" hidden="false" customHeight="false" outlineLevel="0" collapsed="false">
      <c r="A65" s="158"/>
      <c r="B65" s="159"/>
      <c r="C65" s="160"/>
      <c r="D65" s="161" t="n">
        <v>205</v>
      </c>
      <c r="E65" s="162" t="n">
        <v>205</v>
      </c>
      <c r="F65" s="163" t="n">
        <v>205</v>
      </c>
    </row>
    <row r="66" customFormat="false" ht="14.25" hidden="false" customHeight="false" outlineLevel="0" collapsed="false">
      <c r="A66" s="158"/>
      <c r="B66" s="159"/>
      <c r="C66" s="160"/>
      <c r="D66" s="161"/>
      <c r="E66" s="162"/>
      <c r="F66" s="163" t="n">
        <v>208</v>
      </c>
    </row>
    <row r="67" customFormat="false" ht="14.25" hidden="false" customHeight="false" outlineLevel="0" collapsed="false">
      <c r="A67" s="158"/>
      <c r="B67" s="159"/>
      <c r="C67" s="160"/>
      <c r="D67" s="161"/>
      <c r="E67" s="162" t="n">
        <v>210</v>
      </c>
      <c r="F67" s="163" t="n">
        <v>210</v>
      </c>
    </row>
    <row r="68" customFormat="false" ht="14.25" hidden="false" customHeight="false" outlineLevel="0" collapsed="false">
      <c r="A68" s="158"/>
      <c r="B68" s="159"/>
      <c r="C68" s="160"/>
      <c r="D68" s="161"/>
      <c r="E68" s="162"/>
      <c r="F68" s="163" t="n">
        <v>213</v>
      </c>
    </row>
    <row r="69" customFormat="false" ht="14.25" hidden="false" customHeight="false" outlineLevel="0" collapsed="false">
      <c r="A69" s="158" t="n">
        <v>220</v>
      </c>
      <c r="B69" s="159" t="n">
        <v>220</v>
      </c>
      <c r="C69" s="160" t="n">
        <v>220</v>
      </c>
      <c r="D69" s="161" t="n">
        <v>215</v>
      </c>
      <c r="E69" s="162" t="n">
        <v>215</v>
      </c>
      <c r="F69" s="163" t="n">
        <v>215</v>
      </c>
    </row>
    <row r="70" customFormat="false" ht="14.25" hidden="false" customHeight="false" outlineLevel="0" collapsed="false">
      <c r="A70" s="158"/>
      <c r="B70" s="159"/>
      <c r="C70" s="160"/>
      <c r="D70" s="161"/>
      <c r="E70" s="162"/>
      <c r="F70" s="163" t="n">
        <v>218</v>
      </c>
    </row>
    <row r="71" customFormat="false" ht="14.25" hidden="false" customHeight="false" outlineLevel="0" collapsed="false">
      <c r="A71" s="158"/>
      <c r="B71" s="159"/>
      <c r="C71" s="160"/>
      <c r="D71" s="161"/>
      <c r="E71" s="162" t="n">
        <v>221</v>
      </c>
      <c r="F71" s="163" t="n">
        <v>221</v>
      </c>
    </row>
    <row r="72" customFormat="false" ht="14.25" hidden="false" customHeight="false" outlineLevel="0" collapsed="false">
      <c r="A72" s="158"/>
      <c r="B72" s="159"/>
      <c r="C72" s="160"/>
      <c r="D72" s="161"/>
      <c r="E72" s="162"/>
      <c r="F72" s="163" t="n">
        <v>223</v>
      </c>
    </row>
    <row r="73" customFormat="false" ht="14.25" hidden="false" customHeight="false" outlineLevel="0" collapsed="false">
      <c r="A73" s="158"/>
      <c r="B73" s="159"/>
      <c r="C73" s="160"/>
      <c r="D73" s="161" t="n">
        <v>226</v>
      </c>
      <c r="E73" s="162" t="n">
        <v>226</v>
      </c>
      <c r="F73" s="163" t="n">
        <v>226</v>
      </c>
    </row>
    <row r="74" customFormat="false" ht="14.25" hidden="false" customHeight="false" outlineLevel="0" collapsed="false">
      <c r="A74" s="158"/>
      <c r="B74" s="159"/>
      <c r="C74" s="160"/>
      <c r="D74" s="161"/>
      <c r="E74" s="162"/>
      <c r="F74" s="163" t="n">
        <v>229</v>
      </c>
    </row>
    <row r="75" customFormat="false" ht="14.25" hidden="false" customHeight="false" outlineLevel="0" collapsed="false">
      <c r="A75" s="158"/>
      <c r="B75" s="159"/>
      <c r="C75" s="160"/>
      <c r="D75" s="161"/>
      <c r="E75" s="162" t="n">
        <v>232</v>
      </c>
      <c r="F75" s="163" t="n">
        <v>232</v>
      </c>
    </row>
    <row r="76" customFormat="false" ht="14.25" hidden="false" customHeight="false" outlineLevel="0" collapsed="false">
      <c r="A76" s="158"/>
      <c r="B76" s="159"/>
      <c r="C76" s="160"/>
      <c r="D76" s="161"/>
      <c r="E76" s="162"/>
      <c r="F76" s="163" t="n">
        <v>234</v>
      </c>
    </row>
    <row r="77" customFormat="false" ht="14.25" hidden="false" customHeight="false" outlineLevel="0" collapsed="false">
      <c r="A77" s="158"/>
      <c r="B77" s="159"/>
      <c r="C77" s="160" t="n">
        <v>240</v>
      </c>
      <c r="D77" s="161" t="n">
        <v>237</v>
      </c>
      <c r="E77" s="162" t="n">
        <v>237</v>
      </c>
      <c r="F77" s="163" t="n">
        <v>237</v>
      </c>
    </row>
    <row r="78" customFormat="false" ht="14.25" hidden="false" customHeight="false" outlineLevel="0" collapsed="false">
      <c r="A78" s="158"/>
      <c r="B78" s="159"/>
      <c r="C78" s="160"/>
      <c r="D78" s="161"/>
      <c r="E78" s="162"/>
      <c r="F78" s="163" t="n">
        <v>240</v>
      </c>
    </row>
    <row r="79" customFormat="false" ht="14.25" hidden="false" customHeight="false" outlineLevel="0" collapsed="false">
      <c r="A79" s="158"/>
      <c r="B79" s="159"/>
      <c r="C79" s="160"/>
      <c r="D79" s="161"/>
      <c r="E79" s="162" t="n">
        <v>243</v>
      </c>
      <c r="F79" s="163" t="n">
        <v>243</v>
      </c>
    </row>
    <row r="80" customFormat="false" ht="14.25" hidden="false" customHeight="false" outlineLevel="0" collapsed="false">
      <c r="A80" s="158"/>
      <c r="B80" s="159"/>
      <c r="C80" s="160"/>
      <c r="D80" s="161"/>
      <c r="E80" s="162"/>
      <c r="F80" s="163" t="n">
        <v>246</v>
      </c>
    </row>
    <row r="81" customFormat="false" ht="14.25" hidden="false" customHeight="false" outlineLevel="0" collapsed="false">
      <c r="A81" s="158"/>
      <c r="B81" s="159"/>
      <c r="C81" s="160"/>
      <c r="D81" s="161" t="n">
        <v>249</v>
      </c>
      <c r="E81" s="162" t="n">
        <v>249</v>
      </c>
      <c r="F81" s="163" t="n">
        <v>249</v>
      </c>
    </row>
    <row r="82" customFormat="false" ht="14.25" hidden="false" customHeight="false" outlineLevel="0" collapsed="false">
      <c r="A82" s="158"/>
      <c r="B82" s="159"/>
      <c r="C82" s="160"/>
      <c r="D82" s="161"/>
      <c r="E82" s="162"/>
      <c r="F82" s="163" t="n">
        <v>252</v>
      </c>
    </row>
    <row r="83" customFormat="false" ht="14.25" hidden="false" customHeight="false" outlineLevel="0" collapsed="false">
      <c r="A83" s="158"/>
      <c r="B83" s="159"/>
      <c r="C83" s="160"/>
      <c r="D83" s="161"/>
      <c r="E83" s="162" t="n">
        <v>255</v>
      </c>
      <c r="F83" s="163" t="n">
        <v>255</v>
      </c>
    </row>
    <row r="84" customFormat="false" ht="14.25" hidden="false" customHeight="false" outlineLevel="0" collapsed="false">
      <c r="A84" s="158"/>
      <c r="B84" s="159"/>
      <c r="C84" s="160"/>
      <c r="D84" s="161"/>
      <c r="E84" s="162"/>
      <c r="F84" s="163" t="n">
        <v>258</v>
      </c>
    </row>
    <row r="85" customFormat="false" ht="14.25" hidden="false" customHeight="false" outlineLevel="0" collapsed="false">
      <c r="A85" s="158"/>
      <c r="B85" s="159" t="n">
        <v>270</v>
      </c>
      <c r="C85" s="160" t="n">
        <v>270</v>
      </c>
      <c r="D85" s="161" t="n">
        <v>261</v>
      </c>
      <c r="E85" s="162" t="n">
        <v>261</v>
      </c>
      <c r="F85" s="163" t="n">
        <v>261</v>
      </c>
    </row>
    <row r="86" customFormat="false" ht="14.25" hidden="false" customHeight="false" outlineLevel="0" collapsed="false">
      <c r="A86" s="158"/>
      <c r="B86" s="159"/>
      <c r="C86" s="160"/>
      <c r="D86" s="161"/>
      <c r="E86" s="162"/>
      <c r="F86" s="163" t="n">
        <v>264</v>
      </c>
    </row>
    <row r="87" customFormat="false" ht="14.25" hidden="false" customHeight="false" outlineLevel="0" collapsed="false">
      <c r="A87" s="158"/>
      <c r="B87" s="159"/>
      <c r="C87" s="160"/>
      <c r="D87" s="161"/>
      <c r="E87" s="162" t="n">
        <v>267</v>
      </c>
      <c r="F87" s="163" t="n">
        <v>267</v>
      </c>
    </row>
    <row r="88" customFormat="false" ht="14.25" hidden="false" customHeight="false" outlineLevel="0" collapsed="false">
      <c r="A88" s="158"/>
      <c r="B88" s="159"/>
      <c r="C88" s="160"/>
      <c r="D88" s="161"/>
      <c r="E88" s="162"/>
      <c r="F88" s="163" t="n">
        <v>271</v>
      </c>
    </row>
    <row r="89" customFormat="false" ht="14.25" hidden="false" customHeight="false" outlineLevel="0" collapsed="false">
      <c r="A89" s="158"/>
      <c r="B89" s="159"/>
      <c r="C89" s="160"/>
      <c r="D89" s="161" t="n">
        <v>274</v>
      </c>
      <c r="E89" s="162" t="n">
        <v>274</v>
      </c>
      <c r="F89" s="163" t="n">
        <v>274</v>
      </c>
    </row>
    <row r="90" customFormat="false" ht="14.25" hidden="false" customHeight="false" outlineLevel="0" collapsed="false">
      <c r="A90" s="158"/>
      <c r="B90" s="159"/>
      <c r="C90" s="160"/>
      <c r="D90" s="161"/>
      <c r="E90" s="162"/>
      <c r="F90" s="163" t="n">
        <v>277</v>
      </c>
    </row>
    <row r="91" customFormat="false" ht="14.25" hidden="false" customHeight="false" outlineLevel="0" collapsed="false">
      <c r="A91" s="158"/>
      <c r="B91" s="159"/>
      <c r="C91" s="160"/>
      <c r="D91" s="161"/>
      <c r="E91" s="162" t="n">
        <v>280</v>
      </c>
      <c r="F91" s="163" t="n">
        <v>280</v>
      </c>
    </row>
    <row r="92" customFormat="false" ht="14.25" hidden="false" customHeight="false" outlineLevel="0" collapsed="false">
      <c r="A92" s="158"/>
      <c r="B92" s="159"/>
      <c r="C92" s="160"/>
      <c r="D92" s="161"/>
      <c r="E92" s="162"/>
      <c r="F92" s="163" t="n">
        <v>284</v>
      </c>
    </row>
    <row r="93" customFormat="false" ht="14.25" hidden="false" customHeight="false" outlineLevel="0" collapsed="false">
      <c r="A93" s="158"/>
      <c r="B93" s="159"/>
      <c r="C93" s="160" t="n">
        <v>300</v>
      </c>
      <c r="D93" s="161" t="n">
        <v>287</v>
      </c>
      <c r="E93" s="162" t="n">
        <v>287</v>
      </c>
      <c r="F93" s="163" t="n">
        <v>287</v>
      </c>
    </row>
    <row r="94" customFormat="false" ht="14.25" hidden="false" customHeight="false" outlineLevel="0" collapsed="false">
      <c r="A94" s="158"/>
      <c r="B94" s="159"/>
      <c r="C94" s="160"/>
      <c r="D94" s="161"/>
      <c r="E94" s="162"/>
      <c r="F94" s="163" t="n">
        <v>291</v>
      </c>
    </row>
    <row r="95" customFormat="false" ht="14.25" hidden="false" customHeight="false" outlineLevel="0" collapsed="false">
      <c r="A95" s="158"/>
      <c r="B95" s="159"/>
      <c r="C95" s="160"/>
      <c r="D95" s="161"/>
      <c r="E95" s="162" t="n">
        <v>294</v>
      </c>
      <c r="F95" s="163" t="n">
        <v>294</v>
      </c>
    </row>
    <row r="96" customFormat="false" ht="14.25" hidden="false" customHeight="false" outlineLevel="0" collapsed="false">
      <c r="A96" s="158"/>
      <c r="B96" s="159"/>
      <c r="C96" s="160"/>
      <c r="D96" s="161"/>
      <c r="E96" s="162"/>
      <c r="F96" s="163" t="n">
        <v>298</v>
      </c>
    </row>
    <row r="97" customFormat="false" ht="14.25" hidden="false" customHeight="false" outlineLevel="0" collapsed="false">
      <c r="A97" s="158"/>
      <c r="B97" s="159"/>
      <c r="C97" s="160"/>
      <c r="D97" s="161" t="n">
        <v>301</v>
      </c>
      <c r="E97" s="162" t="n">
        <v>301</v>
      </c>
      <c r="F97" s="163" t="n">
        <v>301</v>
      </c>
    </row>
    <row r="98" customFormat="false" ht="14.25" hidden="false" customHeight="false" outlineLevel="0" collapsed="false">
      <c r="A98" s="158"/>
      <c r="B98" s="159"/>
      <c r="C98" s="160"/>
      <c r="D98" s="161"/>
      <c r="E98" s="162"/>
      <c r="F98" s="163" t="n">
        <v>305</v>
      </c>
    </row>
    <row r="99" customFormat="false" ht="14.25" hidden="false" customHeight="false" outlineLevel="0" collapsed="false">
      <c r="A99" s="158"/>
      <c r="B99" s="159"/>
      <c r="C99" s="160"/>
      <c r="D99" s="161"/>
      <c r="E99" s="162" t="n">
        <v>309</v>
      </c>
      <c r="F99" s="163" t="n">
        <v>309</v>
      </c>
    </row>
    <row r="100" customFormat="false" ht="14.25" hidden="false" customHeight="false" outlineLevel="0" collapsed="false">
      <c r="A100" s="158"/>
      <c r="B100" s="159"/>
      <c r="C100" s="160"/>
      <c r="D100" s="161"/>
      <c r="E100" s="162"/>
      <c r="F100" s="163" t="n">
        <v>312</v>
      </c>
    </row>
    <row r="101" customFormat="false" ht="14.25" hidden="false" customHeight="false" outlineLevel="0" collapsed="false">
      <c r="A101" s="158" t="n">
        <v>330</v>
      </c>
      <c r="B101" s="159" t="n">
        <v>330</v>
      </c>
      <c r="C101" s="160" t="n">
        <v>330</v>
      </c>
      <c r="D101" s="161" t="n">
        <v>316</v>
      </c>
      <c r="E101" s="162" t="n">
        <v>316</v>
      </c>
      <c r="F101" s="163" t="n">
        <v>316</v>
      </c>
    </row>
    <row r="102" customFormat="false" ht="14.25" hidden="false" customHeight="false" outlineLevel="0" collapsed="false">
      <c r="A102" s="158"/>
      <c r="B102" s="159"/>
      <c r="C102" s="160"/>
      <c r="D102" s="161"/>
      <c r="E102" s="162"/>
      <c r="F102" s="163" t="n">
        <v>320</v>
      </c>
    </row>
    <row r="103" customFormat="false" ht="14.25" hidden="false" customHeight="false" outlineLevel="0" collapsed="false">
      <c r="A103" s="158"/>
      <c r="B103" s="159"/>
      <c r="C103" s="160"/>
      <c r="D103" s="161"/>
      <c r="E103" s="162" t="n">
        <v>324</v>
      </c>
      <c r="F103" s="163" t="n">
        <v>324</v>
      </c>
    </row>
    <row r="104" customFormat="false" ht="14.25" hidden="false" customHeight="false" outlineLevel="0" collapsed="false">
      <c r="A104" s="158"/>
      <c r="B104" s="159"/>
      <c r="C104" s="160"/>
      <c r="D104" s="161"/>
      <c r="E104" s="162"/>
      <c r="F104" s="163" t="n">
        <v>328</v>
      </c>
    </row>
    <row r="105" customFormat="false" ht="14.25" hidden="false" customHeight="false" outlineLevel="0" collapsed="false">
      <c r="A105" s="158"/>
      <c r="B105" s="159"/>
      <c r="C105" s="160"/>
      <c r="D105" s="161" t="n">
        <v>332</v>
      </c>
      <c r="E105" s="162" t="n">
        <v>332</v>
      </c>
      <c r="F105" s="163" t="n">
        <v>332</v>
      </c>
    </row>
    <row r="106" customFormat="false" ht="14.25" hidden="false" customHeight="false" outlineLevel="0" collapsed="false">
      <c r="A106" s="158"/>
      <c r="B106" s="159"/>
      <c r="C106" s="160"/>
      <c r="D106" s="161"/>
      <c r="E106" s="162"/>
      <c r="F106" s="163" t="n">
        <v>336</v>
      </c>
    </row>
    <row r="107" customFormat="false" ht="14.25" hidden="false" customHeight="false" outlineLevel="0" collapsed="false">
      <c r="A107" s="158"/>
      <c r="B107" s="159"/>
      <c r="C107" s="160"/>
      <c r="D107" s="161"/>
      <c r="E107" s="162" t="n">
        <v>340</v>
      </c>
      <c r="F107" s="163" t="n">
        <v>340</v>
      </c>
    </row>
    <row r="108" customFormat="false" ht="14.25" hidden="false" customHeight="false" outlineLevel="0" collapsed="false">
      <c r="A108" s="158"/>
      <c r="B108" s="159"/>
      <c r="C108" s="160"/>
      <c r="D108" s="161"/>
      <c r="E108" s="162"/>
      <c r="F108" s="163" t="n">
        <v>344</v>
      </c>
    </row>
    <row r="109" customFormat="false" ht="14.25" hidden="false" customHeight="false" outlineLevel="0" collapsed="false">
      <c r="A109" s="158"/>
      <c r="B109" s="159"/>
      <c r="C109" s="160" t="n">
        <v>360</v>
      </c>
      <c r="D109" s="161" t="n">
        <v>348</v>
      </c>
      <c r="E109" s="162" t="n">
        <v>348</v>
      </c>
      <c r="F109" s="163" t="n">
        <v>348</v>
      </c>
    </row>
    <row r="110" customFormat="false" ht="14.25" hidden="false" customHeight="false" outlineLevel="0" collapsed="false">
      <c r="A110" s="158"/>
      <c r="B110" s="159"/>
      <c r="C110" s="160"/>
      <c r="D110" s="161"/>
      <c r="E110" s="162"/>
      <c r="F110" s="163" t="n">
        <v>352</v>
      </c>
    </row>
    <row r="111" customFormat="false" ht="14.25" hidden="false" customHeight="false" outlineLevel="0" collapsed="false">
      <c r="A111" s="158"/>
      <c r="B111" s="159"/>
      <c r="C111" s="160"/>
      <c r="D111" s="161"/>
      <c r="E111" s="162" t="n">
        <v>357</v>
      </c>
      <c r="F111" s="163" t="n">
        <v>357</v>
      </c>
    </row>
    <row r="112" customFormat="false" ht="14.25" hidden="false" customHeight="false" outlineLevel="0" collapsed="false">
      <c r="A112" s="158"/>
      <c r="B112" s="159"/>
      <c r="C112" s="160"/>
      <c r="D112" s="161"/>
      <c r="E112" s="162"/>
      <c r="F112" s="163" t="n">
        <v>361</v>
      </c>
    </row>
    <row r="113" customFormat="false" ht="14.25" hidden="false" customHeight="false" outlineLevel="0" collapsed="false">
      <c r="A113" s="158"/>
      <c r="B113" s="159"/>
      <c r="C113" s="160"/>
      <c r="D113" s="161" t="n">
        <v>365</v>
      </c>
      <c r="E113" s="162" t="n">
        <v>365</v>
      </c>
      <c r="F113" s="163" t="n">
        <v>365</v>
      </c>
    </row>
    <row r="114" customFormat="false" ht="14.25" hidden="false" customHeight="false" outlineLevel="0" collapsed="false">
      <c r="A114" s="158"/>
      <c r="B114" s="159"/>
      <c r="C114" s="160"/>
      <c r="D114" s="161"/>
      <c r="E114" s="162"/>
      <c r="F114" s="163" t="n">
        <v>370</v>
      </c>
    </row>
    <row r="115" customFormat="false" ht="14.25" hidden="false" customHeight="false" outlineLevel="0" collapsed="false">
      <c r="A115" s="158"/>
      <c r="B115" s="159"/>
      <c r="C115" s="160"/>
      <c r="D115" s="161"/>
      <c r="E115" s="162" t="n">
        <v>374</v>
      </c>
      <c r="F115" s="163" t="n">
        <v>374</v>
      </c>
    </row>
    <row r="116" customFormat="false" ht="14.25" hidden="false" customHeight="false" outlineLevel="0" collapsed="false">
      <c r="A116" s="158"/>
      <c r="B116" s="159"/>
      <c r="C116" s="160"/>
      <c r="D116" s="161"/>
      <c r="E116" s="162"/>
      <c r="F116" s="163" t="n">
        <v>379</v>
      </c>
    </row>
    <row r="117" customFormat="false" ht="14.25" hidden="false" customHeight="false" outlineLevel="0" collapsed="false">
      <c r="A117" s="158"/>
      <c r="B117" s="159" t="n">
        <v>390</v>
      </c>
      <c r="C117" s="160" t="n">
        <v>390</v>
      </c>
      <c r="D117" s="161" t="n">
        <v>383</v>
      </c>
      <c r="E117" s="162" t="n">
        <v>383</v>
      </c>
      <c r="F117" s="163" t="n">
        <v>383</v>
      </c>
    </row>
    <row r="118" customFormat="false" ht="14.25" hidden="false" customHeight="false" outlineLevel="0" collapsed="false">
      <c r="A118" s="158"/>
      <c r="B118" s="159"/>
      <c r="C118" s="160"/>
      <c r="D118" s="161"/>
      <c r="E118" s="162"/>
      <c r="F118" s="163" t="n">
        <v>388</v>
      </c>
    </row>
    <row r="119" customFormat="false" ht="14.25" hidden="false" customHeight="false" outlineLevel="0" collapsed="false">
      <c r="A119" s="158"/>
      <c r="B119" s="159"/>
      <c r="C119" s="160"/>
      <c r="D119" s="161"/>
      <c r="E119" s="162" t="n">
        <v>392</v>
      </c>
      <c r="F119" s="163" t="n">
        <v>392</v>
      </c>
    </row>
    <row r="120" customFormat="false" ht="14.25" hidden="false" customHeight="false" outlineLevel="0" collapsed="false">
      <c r="A120" s="158"/>
      <c r="B120" s="159"/>
      <c r="C120" s="160"/>
      <c r="D120" s="161"/>
      <c r="E120" s="162"/>
      <c r="F120" s="163" t="n">
        <v>397</v>
      </c>
    </row>
    <row r="121" customFormat="false" ht="14.25" hidden="false" customHeight="false" outlineLevel="0" collapsed="false">
      <c r="A121" s="158"/>
      <c r="B121" s="159"/>
      <c r="C121" s="160"/>
      <c r="D121" s="161" t="n">
        <v>402</v>
      </c>
      <c r="E121" s="162" t="n">
        <v>402</v>
      </c>
      <c r="F121" s="163" t="n">
        <v>402</v>
      </c>
    </row>
    <row r="122" customFormat="false" ht="14.25" hidden="false" customHeight="false" outlineLevel="0" collapsed="false">
      <c r="A122" s="158"/>
      <c r="B122" s="159"/>
      <c r="C122" s="160"/>
      <c r="D122" s="161"/>
      <c r="E122" s="162"/>
      <c r="F122" s="163" t="n">
        <v>407</v>
      </c>
    </row>
    <row r="123" customFormat="false" ht="14.25" hidden="false" customHeight="false" outlineLevel="0" collapsed="false">
      <c r="A123" s="158"/>
      <c r="B123" s="159"/>
      <c r="C123" s="160"/>
      <c r="D123" s="161"/>
      <c r="E123" s="162" t="n">
        <v>412</v>
      </c>
      <c r="F123" s="163" t="n">
        <v>412</v>
      </c>
    </row>
    <row r="124" customFormat="false" ht="14.25" hidden="false" customHeight="false" outlineLevel="0" collapsed="false">
      <c r="A124" s="158"/>
      <c r="B124" s="159"/>
      <c r="C124" s="160"/>
      <c r="D124" s="161"/>
      <c r="E124" s="162"/>
      <c r="F124" s="163" t="n">
        <v>417</v>
      </c>
    </row>
    <row r="125" customFormat="false" ht="14.25" hidden="false" customHeight="false" outlineLevel="0" collapsed="false">
      <c r="A125" s="158"/>
      <c r="B125" s="159"/>
      <c r="C125" s="160" t="n">
        <v>430</v>
      </c>
      <c r="D125" s="161" t="n">
        <v>422</v>
      </c>
      <c r="E125" s="162" t="n">
        <v>422</v>
      </c>
      <c r="F125" s="163" t="n">
        <v>422</v>
      </c>
    </row>
    <row r="126" customFormat="false" ht="14.25" hidden="false" customHeight="false" outlineLevel="0" collapsed="false">
      <c r="A126" s="158"/>
      <c r="B126" s="159"/>
      <c r="C126" s="160"/>
      <c r="D126" s="161"/>
      <c r="E126" s="162"/>
      <c r="F126" s="163" t="n">
        <v>427</v>
      </c>
    </row>
    <row r="127" customFormat="false" ht="14.25" hidden="false" customHeight="false" outlineLevel="0" collapsed="false">
      <c r="A127" s="158"/>
      <c r="B127" s="159"/>
      <c r="C127" s="160"/>
      <c r="D127" s="161"/>
      <c r="E127" s="162" t="n">
        <v>432</v>
      </c>
      <c r="F127" s="163" t="n">
        <v>432</v>
      </c>
    </row>
    <row r="128" customFormat="false" ht="14.25" hidden="false" customHeight="false" outlineLevel="0" collapsed="false">
      <c r="A128" s="158"/>
      <c r="B128" s="159"/>
      <c r="C128" s="160"/>
      <c r="D128" s="161"/>
      <c r="E128" s="162"/>
      <c r="F128" s="163" t="n">
        <v>437</v>
      </c>
    </row>
    <row r="129" customFormat="false" ht="14.25" hidden="false" customHeight="false" outlineLevel="0" collapsed="false">
      <c r="A129" s="158"/>
      <c r="B129" s="159"/>
      <c r="C129" s="160"/>
      <c r="D129" s="161" t="n">
        <v>442</v>
      </c>
      <c r="E129" s="162" t="n">
        <v>442</v>
      </c>
      <c r="F129" s="163" t="n">
        <v>442</v>
      </c>
    </row>
    <row r="130" customFormat="false" ht="14.25" hidden="false" customHeight="false" outlineLevel="0" collapsed="false">
      <c r="A130" s="158"/>
      <c r="B130" s="159"/>
      <c r="C130" s="160"/>
      <c r="D130" s="161"/>
      <c r="E130" s="162"/>
      <c r="F130" s="163" t="n">
        <v>448</v>
      </c>
    </row>
    <row r="131" customFormat="false" ht="14.25" hidden="false" customHeight="false" outlineLevel="0" collapsed="false">
      <c r="A131" s="158"/>
      <c r="B131" s="159"/>
      <c r="C131" s="160"/>
      <c r="D131" s="161"/>
      <c r="E131" s="162" t="n">
        <v>453</v>
      </c>
      <c r="F131" s="163" t="n">
        <v>453</v>
      </c>
    </row>
    <row r="132" customFormat="false" ht="14.25" hidden="false" customHeight="false" outlineLevel="0" collapsed="false">
      <c r="A132" s="158"/>
      <c r="B132" s="159"/>
      <c r="C132" s="160"/>
      <c r="D132" s="161"/>
      <c r="E132" s="162"/>
      <c r="F132" s="163" t="n">
        <v>459</v>
      </c>
    </row>
    <row r="133" customFormat="false" ht="14.25" hidden="false" customHeight="false" outlineLevel="0" collapsed="false">
      <c r="A133" s="158" t="n">
        <v>470</v>
      </c>
      <c r="B133" s="159" t="n">
        <v>470</v>
      </c>
      <c r="C133" s="160" t="n">
        <v>470</v>
      </c>
      <c r="D133" s="161" t="n">
        <v>464</v>
      </c>
      <c r="E133" s="162" t="n">
        <v>464</v>
      </c>
      <c r="F133" s="163" t="n">
        <v>464</v>
      </c>
    </row>
    <row r="134" customFormat="false" ht="14.25" hidden="false" customHeight="false" outlineLevel="0" collapsed="false">
      <c r="A134" s="158"/>
      <c r="B134" s="159"/>
      <c r="C134" s="160"/>
      <c r="D134" s="161"/>
      <c r="E134" s="162"/>
      <c r="F134" s="163" t="n">
        <v>470</v>
      </c>
    </row>
    <row r="135" customFormat="false" ht="14.25" hidden="false" customHeight="false" outlineLevel="0" collapsed="false">
      <c r="A135" s="158"/>
      <c r="B135" s="159"/>
      <c r="C135" s="160"/>
      <c r="D135" s="161"/>
      <c r="E135" s="162" t="n">
        <v>475</v>
      </c>
      <c r="F135" s="163" t="n">
        <v>475</v>
      </c>
    </row>
    <row r="136" customFormat="false" ht="14.25" hidden="false" customHeight="false" outlineLevel="0" collapsed="false">
      <c r="A136" s="158"/>
      <c r="B136" s="159"/>
      <c r="C136" s="160"/>
      <c r="D136" s="161"/>
      <c r="E136" s="162"/>
      <c r="F136" s="163" t="n">
        <v>481</v>
      </c>
    </row>
    <row r="137" customFormat="false" ht="14.25" hidden="false" customHeight="false" outlineLevel="0" collapsed="false">
      <c r="A137" s="158"/>
      <c r="B137" s="159"/>
      <c r="C137" s="160"/>
      <c r="D137" s="161" t="n">
        <v>487</v>
      </c>
      <c r="E137" s="162" t="n">
        <v>487</v>
      </c>
      <c r="F137" s="163" t="n">
        <v>487</v>
      </c>
    </row>
    <row r="138" customFormat="false" ht="14.25" hidden="false" customHeight="false" outlineLevel="0" collapsed="false">
      <c r="A138" s="158"/>
      <c r="B138" s="159"/>
      <c r="C138" s="160"/>
      <c r="D138" s="161"/>
      <c r="E138" s="162"/>
      <c r="F138" s="163" t="n">
        <v>493</v>
      </c>
    </row>
    <row r="139" customFormat="false" ht="14.25" hidden="false" customHeight="false" outlineLevel="0" collapsed="false">
      <c r="A139" s="158"/>
      <c r="B139" s="159"/>
      <c r="C139" s="160"/>
      <c r="D139" s="161"/>
      <c r="E139" s="162" t="n">
        <v>499</v>
      </c>
      <c r="F139" s="163" t="n">
        <v>499</v>
      </c>
    </row>
    <row r="140" customFormat="false" ht="14.25" hidden="false" customHeight="false" outlineLevel="0" collapsed="false">
      <c r="A140" s="158"/>
      <c r="B140" s="159"/>
      <c r="C140" s="160"/>
      <c r="D140" s="161"/>
      <c r="E140" s="162"/>
      <c r="F140" s="163" t="n">
        <v>505</v>
      </c>
    </row>
    <row r="141" customFormat="false" ht="14.25" hidden="false" customHeight="false" outlineLevel="0" collapsed="false">
      <c r="A141" s="158"/>
      <c r="B141" s="159"/>
      <c r="C141" s="160" t="n">
        <v>510</v>
      </c>
      <c r="D141" s="161" t="n">
        <v>511</v>
      </c>
      <c r="E141" s="162" t="n">
        <v>511</v>
      </c>
      <c r="F141" s="163" t="n">
        <v>511</v>
      </c>
    </row>
    <row r="142" customFormat="false" ht="14.25" hidden="false" customHeight="false" outlineLevel="0" collapsed="false">
      <c r="A142" s="158"/>
      <c r="B142" s="159"/>
      <c r="C142" s="160"/>
      <c r="D142" s="161"/>
      <c r="E142" s="162"/>
      <c r="F142" s="163" t="n">
        <v>517</v>
      </c>
    </row>
    <row r="143" customFormat="false" ht="14.25" hidden="false" customHeight="false" outlineLevel="0" collapsed="false">
      <c r="A143" s="158"/>
      <c r="B143" s="159"/>
      <c r="C143" s="160"/>
      <c r="D143" s="161"/>
      <c r="E143" s="162" t="n">
        <v>523</v>
      </c>
      <c r="F143" s="163" t="n">
        <v>523</v>
      </c>
    </row>
    <row r="144" customFormat="false" ht="14.25" hidden="false" customHeight="false" outlineLevel="0" collapsed="false">
      <c r="A144" s="158"/>
      <c r="B144" s="159"/>
      <c r="C144" s="160"/>
      <c r="D144" s="161"/>
      <c r="E144" s="162"/>
      <c r="F144" s="163" t="n">
        <v>530</v>
      </c>
    </row>
    <row r="145" customFormat="false" ht="14.25" hidden="false" customHeight="false" outlineLevel="0" collapsed="false">
      <c r="A145" s="158"/>
      <c r="B145" s="159"/>
      <c r="C145" s="160"/>
      <c r="D145" s="161" t="n">
        <v>536</v>
      </c>
      <c r="E145" s="162" t="n">
        <v>536</v>
      </c>
      <c r="F145" s="163" t="n">
        <v>536</v>
      </c>
    </row>
    <row r="146" customFormat="false" ht="14.25" hidden="false" customHeight="false" outlineLevel="0" collapsed="false">
      <c r="A146" s="158"/>
      <c r="B146" s="159"/>
      <c r="C146" s="160"/>
      <c r="D146" s="161"/>
      <c r="E146" s="162"/>
      <c r="F146" s="163" t="n">
        <v>542</v>
      </c>
    </row>
    <row r="147" customFormat="false" ht="14.25" hidden="false" customHeight="false" outlineLevel="0" collapsed="false">
      <c r="A147" s="158"/>
      <c r="B147" s="159"/>
      <c r="C147" s="160"/>
      <c r="D147" s="161"/>
      <c r="E147" s="162" t="n">
        <v>549</v>
      </c>
      <c r="F147" s="163" t="n">
        <v>549</v>
      </c>
    </row>
    <row r="148" customFormat="false" ht="14.25" hidden="false" customHeight="false" outlineLevel="0" collapsed="false">
      <c r="A148" s="158"/>
      <c r="B148" s="159"/>
      <c r="C148" s="160"/>
      <c r="D148" s="161"/>
      <c r="E148" s="162"/>
      <c r="F148" s="163" t="n">
        <v>556</v>
      </c>
    </row>
    <row r="149" customFormat="false" ht="14.25" hidden="false" customHeight="false" outlineLevel="0" collapsed="false">
      <c r="A149" s="158"/>
      <c r="B149" s="159" t="n">
        <v>560</v>
      </c>
      <c r="C149" s="160" t="n">
        <v>560</v>
      </c>
      <c r="D149" s="161" t="n">
        <v>562</v>
      </c>
      <c r="E149" s="162" t="n">
        <v>562</v>
      </c>
      <c r="F149" s="163" t="n">
        <v>562</v>
      </c>
    </row>
    <row r="150" customFormat="false" ht="14.25" hidden="false" customHeight="false" outlineLevel="0" collapsed="false">
      <c r="A150" s="158"/>
      <c r="B150" s="159"/>
      <c r="C150" s="160"/>
      <c r="D150" s="161"/>
      <c r="E150" s="162"/>
      <c r="F150" s="163" t="n">
        <v>569</v>
      </c>
    </row>
    <row r="151" customFormat="false" ht="14.25" hidden="false" customHeight="false" outlineLevel="0" collapsed="false">
      <c r="A151" s="158"/>
      <c r="B151" s="159"/>
      <c r="C151" s="160"/>
      <c r="D151" s="161"/>
      <c r="E151" s="162" t="n">
        <v>576</v>
      </c>
      <c r="F151" s="163" t="n">
        <v>576</v>
      </c>
    </row>
    <row r="152" customFormat="false" ht="14.25" hidden="false" customHeight="false" outlineLevel="0" collapsed="false">
      <c r="A152" s="158"/>
      <c r="B152" s="159"/>
      <c r="C152" s="160"/>
      <c r="D152" s="161"/>
      <c r="E152" s="162"/>
      <c r="F152" s="163" t="n">
        <v>583</v>
      </c>
    </row>
    <row r="153" customFormat="false" ht="14.25" hidden="false" customHeight="false" outlineLevel="0" collapsed="false">
      <c r="A153" s="158"/>
      <c r="B153" s="159"/>
      <c r="C153" s="160"/>
      <c r="D153" s="161" t="n">
        <v>590</v>
      </c>
      <c r="E153" s="162" t="n">
        <v>590</v>
      </c>
      <c r="F153" s="163" t="n">
        <v>590</v>
      </c>
    </row>
    <row r="154" customFormat="false" ht="14.25" hidden="false" customHeight="false" outlineLevel="0" collapsed="false">
      <c r="A154" s="158"/>
      <c r="B154" s="159"/>
      <c r="C154" s="160"/>
      <c r="D154" s="161"/>
      <c r="E154" s="162"/>
      <c r="F154" s="163" t="n">
        <v>597</v>
      </c>
    </row>
    <row r="155" customFormat="false" ht="14.25" hidden="false" customHeight="false" outlineLevel="0" collapsed="false">
      <c r="A155" s="158"/>
      <c r="B155" s="159"/>
      <c r="C155" s="160"/>
      <c r="D155" s="161"/>
      <c r="E155" s="162" t="n">
        <v>604</v>
      </c>
      <c r="F155" s="163" t="n">
        <v>604</v>
      </c>
    </row>
    <row r="156" customFormat="false" ht="14.25" hidden="false" customHeight="false" outlineLevel="0" collapsed="false">
      <c r="A156" s="158"/>
      <c r="B156" s="159"/>
      <c r="C156" s="160"/>
      <c r="D156" s="161"/>
      <c r="E156" s="162"/>
      <c r="F156" s="163" t="n">
        <v>612</v>
      </c>
    </row>
    <row r="157" customFormat="false" ht="14.25" hidden="false" customHeight="false" outlineLevel="0" collapsed="false">
      <c r="A157" s="158"/>
      <c r="B157" s="159"/>
      <c r="C157" s="160" t="n">
        <v>620</v>
      </c>
      <c r="D157" s="161" t="n">
        <v>619</v>
      </c>
      <c r="E157" s="162" t="n">
        <v>619</v>
      </c>
      <c r="F157" s="163" t="n">
        <v>619</v>
      </c>
    </row>
    <row r="158" customFormat="false" ht="14.25" hidden="false" customHeight="false" outlineLevel="0" collapsed="false">
      <c r="A158" s="158"/>
      <c r="B158" s="159"/>
      <c r="C158" s="160"/>
      <c r="D158" s="161"/>
      <c r="E158" s="162"/>
      <c r="F158" s="163" t="n">
        <v>626</v>
      </c>
    </row>
    <row r="159" customFormat="false" ht="14.25" hidden="false" customHeight="false" outlineLevel="0" collapsed="false">
      <c r="A159" s="158"/>
      <c r="B159" s="159"/>
      <c r="C159" s="160"/>
      <c r="D159" s="161"/>
      <c r="E159" s="162" t="n">
        <v>634</v>
      </c>
      <c r="F159" s="163" t="n">
        <v>634</v>
      </c>
    </row>
    <row r="160" customFormat="false" ht="14.25" hidden="false" customHeight="false" outlineLevel="0" collapsed="false">
      <c r="A160" s="158"/>
      <c r="B160" s="159"/>
      <c r="C160" s="160"/>
      <c r="D160" s="161"/>
      <c r="E160" s="162"/>
      <c r="F160" s="163" t="n">
        <v>642</v>
      </c>
    </row>
    <row r="161" customFormat="false" ht="14.25" hidden="false" customHeight="false" outlineLevel="0" collapsed="false">
      <c r="A161" s="158"/>
      <c r="B161" s="159"/>
      <c r="C161" s="160"/>
      <c r="D161" s="161" t="n">
        <v>649</v>
      </c>
      <c r="E161" s="162" t="n">
        <v>649</v>
      </c>
      <c r="F161" s="163" t="n">
        <v>649</v>
      </c>
    </row>
    <row r="162" customFormat="false" ht="14.25" hidden="false" customHeight="false" outlineLevel="0" collapsed="false">
      <c r="A162" s="158"/>
      <c r="B162" s="159"/>
      <c r="C162" s="160"/>
      <c r="D162" s="161"/>
      <c r="E162" s="162"/>
      <c r="F162" s="163" t="n">
        <v>657</v>
      </c>
    </row>
    <row r="163" customFormat="false" ht="14.25" hidden="false" customHeight="false" outlineLevel="0" collapsed="false">
      <c r="A163" s="158"/>
      <c r="B163" s="159"/>
      <c r="C163" s="160"/>
      <c r="D163" s="161"/>
      <c r="E163" s="162" t="n">
        <v>665</v>
      </c>
      <c r="F163" s="163" t="n">
        <v>665</v>
      </c>
    </row>
    <row r="164" customFormat="false" ht="14.25" hidden="false" customHeight="false" outlineLevel="0" collapsed="false">
      <c r="A164" s="158"/>
      <c r="B164" s="159"/>
      <c r="C164" s="160"/>
      <c r="D164" s="161"/>
      <c r="E164" s="162"/>
      <c r="F164" s="163" t="n">
        <v>673</v>
      </c>
    </row>
    <row r="165" customFormat="false" ht="14.25" hidden="false" customHeight="false" outlineLevel="0" collapsed="false">
      <c r="A165" s="158" t="n">
        <v>680</v>
      </c>
      <c r="B165" s="159" t="n">
        <v>680</v>
      </c>
      <c r="C165" s="160" t="n">
        <v>680</v>
      </c>
      <c r="D165" s="161" t="n">
        <v>681</v>
      </c>
      <c r="E165" s="162" t="n">
        <v>681</v>
      </c>
      <c r="F165" s="163" t="n">
        <v>681</v>
      </c>
    </row>
    <row r="166" customFormat="false" ht="14.25" hidden="false" customHeight="false" outlineLevel="0" collapsed="false">
      <c r="A166" s="158"/>
      <c r="B166" s="159"/>
      <c r="C166" s="160"/>
      <c r="D166" s="161"/>
      <c r="E166" s="162"/>
      <c r="F166" s="163" t="n">
        <v>690</v>
      </c>
    </row>
    <row r="167" customFormat="false" ht="14.25" hidden="false" customHeight="false" outlineLevel="0" collapsed="false">
      <c r="A167" s="158"/>
      <c r="B167" s="159"/>
      <c r="C167" s="160"/>
      <c r="D167" s="161"/>
      <c r="E167" s="162" t="n">
        <v>698</v>
      </c>
      <c r="F167" s="163" t="n">
        <v>698</v>
      </c>
    </row>
    <row r="168" customFormat="false" ht="14.25" hidden="false" customHeight="false" outlineLevel="0" collapsed="false">
      <c r="A168" s="158"/>
      <c r="B168" s="159"/>
      <c r="C168" s="160"/>
      <c r="D168" s="161"/>
      <c r="E168" s="162"/>
      <c r="F168" s="163" t="n">
        <v>706</v>
      </c>
    </row>
    <row r="169" customFormat="false" ht="14.25" hidden="false" customHeight="false" outlineLevel="0" collapsed="false">
      <c r="A169" s="158"/>
      <c r="B169" s="159"/>
      <c r="C169" s="160"/>
      <c r="D169" s="161" t="n">
        <v>715</v>
      </c>
      <c r="E169" s="162" t="n">
        <v>715</v>
      </c>
      <c r="F169" s="163" t="n">
        <v>715</v>
      </c>
    </row>
    <row r="170" customFormat="false" ht="14.25" hidden="false" customHeight="false" outlineLevel="0" collapsed="false">
      <c r="A170" s="158"/>
      <c r="B170" s="159"/>
      <c r="C170" s="160"/>
      <c r="D170" s="161"/>
      <c r="E170" s="162"/>
      <c r="F170" s="163" t="n">
        <v>723</v>
      </c>
    </row>
    <row r="171" customFormat="false" ht="14.25" hidden="false" customHeight="false" outlineLevel="0" collapsed="false">
      <c r="A171" s="158"/>
      <c r="B171" s="159"/>
      <c r="C171" s="160"/>
      <c r="D171" s="161"/>
      <c r="E171" s="162" t="n">
        <v>732</v>
      </c>
      <c r="F171" s="163" t="n">
        <v>732</v>
      </c>
    </row>
    <row r="172" customFormat="false" ht="14.25" hidden="false" customHeight="false" outlineLevel="0" collapsed="false">
      <c r="A172" s="158"/>
      <c r="B172" s="159"/>
      <c r="C172" s="160"/>
      <c r="D172" s="161"/>
      <c r="E172" s="162"/>
      <c r="F172" s="163" t="n">
        <v>741</v>
      </c>
    </row>
    <row r="173" customFormat="false" ht="14.25" hidden="false" customHeight="false" outlineLevel="0" collapsed="false">
      <c r="A173" s="158"/>
      <c r="B173" s="159"/>
      <c r="C173" s="160" t="n">
        <v>750</v>
      </c>
      <c r="D173" s="161" t="n">
        <v>750</v>
      </c>
      <c r="E173" s="162" t="n">
        <v>750</v>
      </c>
      <c r="F173" s="163" t="n">
        <v>750</v>
      </c>
    </row>
    <row r="174" customFormat="false" ht="14.25" hidden="false" customHeight="false" outlineLevel="0" collapsed="false">
      <c r="A174" s="158"/>
      <c r="B174" s="159"/>
      <c r="C174" s="160"/>
      <c r="D174" s="161"/>
      <c r="E174" s="162"/>
      <c r="F174" s="163" t="n">
        <v>759</v>
      </c>
    </row>
    <row r="175" customFormat="false" ht="14.25" hidden="false" customHeight="false" outlineLevel="0" collapsed="false">
      <c r="A175" s="158"/>
      <c r="B175" s="159"/>
      <c r="C175" s="160"/>
      <c r="D175" s="161"/>
      <c r="E175" s="162" t="n">
        <v>768</v>
      </c>
      <c r="F175" s="163" t="n">
        <v>768</v>
      </c>
    </row>
    <row r="176" customFormat="false" ht="14.25" hidden="false" customHeight="false" outlineLevel="0" collapsed="false">
      <c r="A176" s="158"/>
      <c r="B176" s="159"/>
      <c r="C176" s="160"/>
      <c r="D176" s="161"/>
      <c r="E176" s="162"/>
      <c r="F176" s="163" t="n">
        <v>777</v>
      </c>
    </row>
    <row r="177" customFormat="false" ht="14.25" hidden="false" customHeight="false" outlineLevel="0" collapsed="false">
      <c r="A177" s="158"/>
      <c r="B177" s="159"/>
      <c r="C177" s="160"/>
      <c r="D177" s="161" t="n">
        <v>787</v>
      </c>
      <c r="E177" s="162" t="n">
        <v>787</v>
      </c>
      <c r="F177" s="163" t="n">
        <v>787</v>
      </c>
    </row>
    <row r="178" customFormat="false" ht="14.25" hidden="false" customHeight="false" outlineLevel="0" collapsed="false">
      <c r="A178" s="158"/>
      <c r="B178" s="159"/>
      <c r="C178" s="160"/>
      <c r="D178" s="161"/>
      <c r="E178" s="162"/>
      <c r="F178" s="163" t="n">
        <v>796</v>
      </c>
    </row>
    <row r="179" customFormat="false" ht="14.25" hidden="false" customHeight="false" outlineLevel="0" collapsed="false">
      <c r="A179" s="158"/>
      <c r="B179" s="159"/>
      <c r="C179" s="160"/>
      <c r="D179" s="161"/>
      <c r="E179" s="162" t="n">
        <v>806</v>
      </c>
      <c r="F179" s="163" t="n">
        <v>806</v>
      </c>
    </row>
    <row r="180" customFormat="false" ht="14.25" hidden="false" customHeight="false" outlineLevel="0" collapsed="false">
      <c r="A180" s="158"/>
      <c r="B180" s="159"/>
      <c r="C180" s="160"/>
      <c r="D180" s="161"/>
      <c r="E180" s="162"/>
      <c r="F180" s="163" t="n">
        <v>816</v>
      </c>
    </row>
    <row r="181" customFormat="false" ht="14.25" hidden="false" customHeight="false" outlineLevel="0" collapsed="false">
      <c r="A181" s="158"/>
      <c r="B181" s="159" t="n">
        <v>820</v>
      </c>
      <c r="C181" s="160" t="n">
        <v>820</v>
      </c>
      <c r="D181" s="161" t="n">
        <v>825</v>
      </c>
      <c r="E181" s="162" t="n">
        <v>825</v>
      </c>
      <c r="F181" s="163" t="n">
        <v>825</v>
      </c>
    </row>
    <row r="182" customFormat="false" ht="14.25" hidden="false" customHeight="false" outlineLevel="0" collapsed="false">
      <c r="A182" s="158"/>
      <c r="B182" s="159"/>
      <c r="C182" s="160"/>
      <c r="D182" s="161"/>
      <c r="E182" s="162"/>
      <c r="F182" s="163" t="n">
        <v>835</v>
      </c>
    </row>
    <row r="183" customFormat="false" ht="14.25" hidden="false" customHeight="false" outlineLevel="0" collapsed="false">
      <c r="A183" s="158"/>
      <c r="B183" s="159"/>
      <c r="C183" s="160"/>
      <c r="D183" s="161"/>
      <c r="E183" s="162" t="n">
        <v>845</v>
      </c>
      <c r="F183" s="163" t="n">
        <v>845</v>
      </c>
    </row>
    <row r="184" customFormat="false" ht="14.25" hidden="false" customHeight="false" outlineLevel="0" collapsed="false">
      <c r="A184" s="158"/>
      <c r="B184" s="159"/>
      <c r="C184" s="160"/>
      <c r="D184" s="161"/>
      <c r="E184" s="162"/>
      <c r="F184" s="163" t="n">
        <v>856</v>
      </c>
    </row>
    <row r="185" customFormat="false" ht="14.25" hidden="false" customHeight="false" outlineLevel="0" collapsed="false">
      <c r="A185" s="158"/>
      <c r="B185" s="159"/>
      <c r="C185" s="160"/>
      <c r="D185" s="161" t="n">
        <v>866</v>
      </c>
      <c r="E185" s="162" t="n">
        <v>866</v>
      </c>
      <c r="F185" s="163" t="n">
        <v>866</v>
      </c>
    </row>
    <row r="186" customFormat="false" ht="14.25" hidden="false" customHeight="false" outlineLevel="0" collapsed="false">
      <c r="A186" s="158"/>
      <c r="B186" s="159"/>
      <c r="C186" s="160"/>
      <c r="D186" s="161"/>
      <c r="E186" s="162"/>
      <c r="F186" s="163" t="n">
        <v>876</v>
      </c>
    </row>
    <row r="187" customFormat="false" ht="14.25" hidden="false" customHeight="false" outlineLevel="0" collapsed="false">
      <c r="A187" s="158"/>
      <c r="B187" s="159"/>
      <c r="C187" s="160"/>
      <c r="D187" s="161"/>
      <c r="E187" s="162" t="n">
        <v>887</v>
      </c>
      <c r="F187" s="163" t="n">
        <v>887</v>
      </c>
    </row>
    <row r="188" customFormat="false" ht="14.25" hidden="false" customHeight="false" outlineLevel="0" collapsed="false">
      <c r="A188" s="158"/>
      <c r="B188" s="159"/>
      <c r="C188" s="160"/>
      <c r="D188" s="161"/>
      <c r="E188" s="162"/>
      <c r="F188" s="163" t="n">
        <v>898</v>
      </c>
    </row>
    <row r="189" customFormat="false" ht="14.25" hidden="false" customHeight="false" outlineLevel="0" collapsed="false">
      <c r="A189" s="158"/>
      <c r="B189" s="159"/>
      <c r="C189" s="160" t="n">
        <v>910</v>
      </c>
      <c r="D189" s="161" t="n">
        <v>909</v>
      </c>
      <c r="E189" s="162" t="n">
        <v>909</v>
      </c>
      <c r="F189" s="163" t="n">
        <v>909</v>
      </c>
    </row>
    <row r="190" customFormat="false" ht="14.25" hidden="false" customHeight="false" outlineLevel="0" collapsed="false">
      <c r="A190" s="158"/>
      <c r="B190" s="159"/>
      <c r="C190" s="160"/>
      <c r="D190" s="161"/>
      <c r="E190" s="162"/>
      <c r="F190" s="163" t="n">
        <v>920</v>
      </c>
    </row>
    <row r="191" customFormat="false" ht="14.25" hidden="false" customHeight="false" outlineLevel="0" collapsed="false">
      <c r="A191" s="158"/>
      <c r="B191" s="159"/>
      <c r="C191" s="160"/>
      <c r="D191" s="161"/>
      <c r="E191" s="162" t="n">
        <v>931</v>
      </c>
      <c r="F191" s="163" t="n">
        <v>931</v>
      </c>
    </row>
    <row r="192" customFormat="false" ht="14.25" hidden="false" customHeight="false" outlineLevel="0" collapsed="false">
      <c r="A192" s="158"/>
      <c r="B192" s="159"/>
      <c r="C192" s="160"/>
      <c r="D192" s="161"/>
      <c r="E192" s="162"/>
      <c r="F192" s="163" t="n">
        <v>942</v>
      </c>
    </row>
    <row r="193" customFormat="false" ht="14.25" hidden="false" customHeight="false" outlineLevel="0" collapsed="false">
      <c r="A193" s="158"/>
      <c r="B193" s="159"/>
      <c r="C193" s="160"/>
      <c r="D193" s="161" t="n">
        <v>953</v>
      </c>
      <c r="E193" s="162" t="n">
        <v>953</v>
      </c>
      <c r="F193" s="163" t="n">
        <v>953</v>
      </c>
    </row>
    <row r="194" customFormat="false" ht="14.25" hidden="false" customHeight="false" outlineLevel="0" collapsed="false">
      <c r="A194" s="158"/>
      <c r="B194" s="159"/>
      <c r="C194" s="160"/>
      <c r="D194" s="161"/>
      <c r="E194" s="162"/>
      <c r="F194" s="163" t="n">
        <v>965</v>
      </c>
    </row>
    <row r="195" customFormat="false" ht="14.25" hidden="false" customHeight="false" outlineLevel="0" collapsed="false">
      <c r="A195" s="158"/>
      <c r="B195" s="159"/>
      <c r="C195" s="160"/>
      <c r="D195" s="161"/>
      <c r="E195" s="162" t="n">
        <v>976</v>
      </c>
      <c r="F195" s="163" t="n">
        <v>976</v>
      </c>
    </row>
    <row r="196" customFormat="false" ht="14.25" hidden="false" customHeight="false" outlineLevel="0" collapsed="false">
      <c r="A196" s="158"/>
      <c r="B196" s="159"/>
      <c r="C196" s="160"/>
      <c r="D196" s="161"/>
      <c r="E196" s="162"/>
      <c r="F196" s="163" t="n">
        <v>988</v>
      </c>
    </row>
    <row r="197" customFormat="false" ht="14.25" hidden="false" customHeight="false" outlineLevel="0" collapsed="false">
      <c r="A197" s="165" t="n">
        <v>1000</v>
      </c>
      <c r="B197" s="166" t="n">
        <v>1000</v>
      </c>
      <c r="C197" s="167" t="n">
        <v>1000</v>
      </c>
      <c r="D197" s="168" t="n">
        <v>1000</v>
      </c>
      <c r="E197" s="169" t="n">
        <v>1000</v>
      </c>
      <c r="F197" s="170" t="n">
        <v>1000</v>
      </c>
      <c r="G197" s="171" t="s">
        <v>174</v>
      </c>
    </row>
  </sheetData>
  <sheetProtection sheet="true" objects="true" scenarios="true"/>
  <mergeCells count="187">
    <mergeCell ref="A1:F1"/>
    <mergeCell ref="A5:A36"/>
    <mergeCell ref="B5:B20"/>
    <mergeCell ref="C5:C12"/>
    <mergeCell ref="D5:D8"/>
    <mergeCell ref="E5:E6"/>
    <mergeCell ref="E7:E8"/>
    <mergeCell ref="D9:D12"/>
    <mergeCell ref="E9:E10"/>
    <mergeCell ref="E11:E12"/>
    <mergeCell ref="C13:C20"/>
    <mergeCell ref="D13:D16"/>
    <mergeCell ref="E13:E14"/>
    <mergeCell ref="E15:E16"/>
    <mergeCell ref="D17:D20"/>
    <mergeCell ref="E17:E18"/>
    <mergeCell ref="E19:E20"/>
    <mergeCell ref="B21:B36"/>
    <mergeCell ref="C21:C28"/>
    <mergeCell ref="D21:D24"/>
    <mergeCell ref="E21:E22"/>
    <mergeCell ref="E23:E24"/>
    <mergeCell ref="D25:D28"/>
    <mergeCell ref="E25:E26"/>
    <mergeCell ref="E27:E28"/>
    <mergeCell ref="C29:C36"/>
    <mergeCell ref="D29:D32"/>
    <mergeCell ref="E29:E30"/>
    <mergeCell ref="E31:E32"/>
    <mergeCell ref="D33:D36"/>
    <mergeCell ref="E33:E34"/>
    <mergeCell ref="E35:E36"/>
    <mergeCell ref="A37:A68"/>
    <mergeCell ref="B37:B52"/>
    <mergeCell ref="C37:C44"/>
    <mergeCell ref="D37:D40"/>
    <mergeCell ref="E37:E38"/>
    <mergeCell ref="E39:E40"/>
    <mergeCell ref="D41:D44"/>
    <mergeCell ref="E41:E42"/>
    <mergeCell ref="E43:E44"/>
    <mergeCell ref="C45:C52"/>
    <mergeCell ref="D45:D48"/>
    <mergeCell ref="E45:E46"/>
    <mergeCell ref="E47:E48"/>
    <mergeCell ref="D49:D52"/>
    <mergeCell ref="E49:E50"/>
    <mergeCell ref="E51:E52"/>
    <mergeCell ref="B53:B68"/>
    <mergeCell ref="C53:C60"/>
    <mergeCell ref="D53:D56"/>
    <mergeCell ref="E53:E54"/>
    <mergeCell ref="E55:E56"/>
    <mergeCell ref="D57:D60"/>
    <mergeCell ref="E57:E58"/>
    <mergeCell ref="E59:E60"/>
    <mergeCell ref="C61:C68"/>
    <mergeCell ref="D61:D64"/>
    <mergeCell ref="E61:E62"/>
    <mergeCell ref="E63:E64"/>
    <mergeCell ref="D65:D68"/>
    <mergeCell ref="E65:E66"/>
    <mergeCell ref="E67:E68"/>
    <mergeCell ref="A69:A100"/>
    <mergeCell ref="B69:B84"/>
    <mergeCell ref="C69:C76"/>
    <mergeCell ref="D69:D72"/>
    <mergeCell ref="E69:E70"/>
    <mergeCell ref="E71:E72"/>
    <mergeCell ref="D73:D76"/>
    <mergeCell ref="E73:E74"/>
    <mergeCell ref="E75:E76"/>
    <mergeCell ref="C77:C84"/>
    <mergeCell ref="D77:D80"/>
    <mergeCell ref="E77:E78"/>
    <mergeCell ref="E79:E80"/>
    <mergeCell ref="D81:D84"/>
    <mergeCell ref="E81:E82"/>
    <mergeCell ref="E83:E84"/>
    <mergeCell ref="B85:B100"/>
    <mergeCell ref="C85:C92"/>
    <mergeCell ref="D85:D88"/>
    <mergeCell ref="E85:E86"/>
    <mergeCell ref="E87:E88"/>
    <mergeCell ref="D89:D92"/>
    <mergeCell ref="E89:E90"/>
    <mergeCell ref="E91:E92"/>
    <mergeCell ref="C93:C100"/>
    <mergeCell ref="D93:D96"/>
    <mergeCell ref="E93:E94"/>
    <mergeCell ref="E95:E96"/>
    <mergeCell ref="D97:D100"/>
    <mergeCell ref="E97:E98"/>
    <mergeCell ref="E99:E100"/>
    <mergeCell ref="A101:A132"/>
    <mergeCell ref="B101:B116"/>
    <mergeCell ref="C101:C108"/>
    <mergeCell ref="D101:D104"/>
    <mergeCell ref="E101:E102"/>
    <mergeCell ref="E103:E104"/>
    <mergeCell ref="D105:D108"/>
    <mergeCell ref="E105:E106"/>
    <mergeCell ref="E107:E108"/>
    <mergeCell ref="C109:C116"/>
    <mergeCell ref="D109:D112"/>
    <mergeCell ref="E109:E110"/>
    <mergeCell ref="E111:E112"/>
    <mergeCell ref="D113:D116"/>
    <mergeCell ref="E113:E114"/>
    <mergeCell ref="E115:E116"/>
    <mergeCell ref="B117:B132"/>
    <mergeCell ref="C117:C124"/>
    <mergeCell ref="D117:D120"/>
    <mergeCell ref="E117:E118"/>
    <mergeCell ref="E119:E120"/>
    <mergeCell ref="D121:D124"/>
    <mergeCell ref="E121:E122"/>
    <mergeCell ref="E123:E124"/>
    <mergeCell ref="C125:C132"/>
    <mergeCell ref="D125:D128"/>
    <mergeCell ref="E125:E126"/>
    <mergeCell ref="E127:E128"/>
    <mergeCell ref="D129:D132"/>
    <mergeCell ref="E129:E130"/>
    <mergeCell ref="E131:E132"/>
    <mergeCell ref="A133:A164"/>
    <mergeCell ref="B133:B148"/>
    <mergeCell ref="C133:C140"/>
    <mergeCell ref="D133:D136"/>
    <mergeCell ref="E133:E134"/>
    <mergeCell ref="E135:E136"/>
    <mergeCell ref="D137:D140"/>
    <mergeCell ref="E137:E138"/>
    <mergeCell ref="E139:E140"/>
    <mergeCell ref="C141:C148"/>
    <mergeCell ref="D141:D144"/>
    <mergeCell ref="E141:E142"/>
    <mergeCell ref="E143:E144"/>
    <mergeCell ref="D145:D148"/>
    <mergeCell ref="E145:E146"/>
    <mergeCell ref="E147:E148"/>
    <mergeCell ref="B149:B164"/>
    <mergeCell ref="C149:C156"/>
    <mergeCell ref="D149:D152"/>
    <mergeCell ref="E149:E150"/>
    <mergeCell ref="E151:E152"/>
    <mergeCell ref="D153:D156"/>
    <mergeCell ref="E153:E154"/>
    <mergeCell ref="E155:E156"/>
    <mergeCell ref="C157:C164"/>
    <mergeCell ref="D157:D160"/>
    <mergeCell ref="E157:E158"/>
    <mergeCell ref="E159:E160"/>
    <mergeCell ref="D161:D164"/>
    <mergeCell ref="E161:E162"/>
    <mergeCell ref="E163:E164"/>
    <mergeCell ref="A165:A196"/>
    <mergeCell ref="B165:B180"/>
    <mergeCell ref="C165:C172"/>
    <mergeCell ref="D165:D168"/>
    <mergeCell ref="E165:E166"/>
    <mergeCell ref="E167:E168"/>
    <mergeCell ref="D169:D172"/>
    <mergeCell ref="E169:E170"/>
    <mergeCell ref="E171:E172"/>
    <mergeCell ref="C173:C180"/>
    <mergeCell ref="D173:D176"/>
    <mergeCell ref="E173:E174"/>
    <mergeCell ref="E175:E176"/>
    <mergeCell ref="D177:D180"/>
    <mergeCell ref="E177:E178"/>
    <mergeCell ref="E179:E180"/>
    <mergeCell ref="B181:B196"/>
    <mergeCell ref="C181:C188"/>
    <mergeCell ref="D181:D184"/>
    <mergeCell ref="E181:E182"/>
    <mergeCell ref="E183:E184"/>
    <mergeCell ref="D185:D188"/>
    <mergeCell ref="E185:E186"/>
    <mergeCell ref="E187:E188"/>
    <mergeCell ref="C189:C196"/>
    <mergeCell ref="D189:D192"/>
    <mergeCell ref="E189:E190"/>
    <mergeCell ref="E191:E192"/>
    <mergeCell ref="D193:D196"/>
    <mergeCell ref="E193:E194"/>
    <mergeCell ref="E195:E19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G170" activeCellId="0" sqref="G170"/>
    </sheetView>
  </sheetViews>
  <sheetFormatPr defaultColWidth="8.2734375" defaultRowHeight="14.25" customHeight="false" zeroHeight="false" outlineLevelRow="0" outlineLevelCol="0"/>
  <cols>
    <col collapsed="false" customWidth="true" hidden="false" outlineLevel="0" max="4" min="1" style="0" width="9.33"/>
  </cols>
  <sheetData>
    <row r="1" customFormat="false" ht="24.45" hidden="false" customHeight="false" outlineLevel="0" collapsed="false">
      <c r="A1" s="172" t="s">
        <v>175</v>
      </c>
      <c r="B1" s="172"/>
    </row>
    <row r="3" customFormat="false" ht="14.25" hidden="false" customHeight="false" outlineLevel="0" collapsed="false">
      <c r="A3" s="173" t="s">
        <v>176</v>
      </c>
      <c r="B3" s="173" t="s">
        <v>90</v>
      </c>
      <c r="C3" s="173" t="s">
        <v>177</v>
      </c>
      <c r="D3" s="173" t="s">
        <v>178</v>
      </c>
    </row>
    <row r="4" customFormat="false" ht="14.25" hidden="false" customHeight="false" outlineLevel="0" collapsed="false">
      <c r="A4" s="174" t="n">
        <v>1</v>
      </c>
      <c r="B4" s="174" t="n">
        <v>1</v>
      </c>
      <c r="C4" s="174" t="n">
        <v>1</v>
      </c>
      <c r="D4" s="174" t="n">
        <v>1</v>
      </c>
    </row>
    <row r="5" customFormat="false" ht="14.25" hidden="false" customHeight="false" outlineLevel="0" collapsed="false">
      <c r="A5" s="174" t="n">
        <v>1.1</v>
      </c>
      <c r="B5" s="174" t="n">
        <v>1.1</v>
      </c>
      <c r="C5" s="174"/>
      <c r="D5" s="174"/>
    </row>
    <row r="6" customFormat="false" ht="14.25" hidden="false" customHeight="false" outlineLevel="0" collapsed="false">
      <c r="A6" s="174" t="n">
        <v>1.2</v>
      </c>
      <c r="B6" s="174" t="n">
        <v>1.2</v>
      </c>
      <c r="C6" s="174"/>
      <c r="D6" s="174"/>
    </row>
    <row r="7" customFormat="false" ht="14.25" hidden="false" customHeight="false" outlineLevel="0" collapsed="false">
      <c r="A7" s="174" t="n">
        <v>1.3</v>
      </c>
      <c r="B7" s="174" t="n">
        <v>1.3</v>
      </c>
      <c r="C7" s="174"/>
      <c r="D7" s="174"/>
    </row>
    <row r="8" customFormat="false" ht="14.25" hidden="false" customHeight="false" outlineLevel="0" collapsed="false">
      <c r="A8" s="174" t="n">
        <v>1.5</v>
      </c>
      <c r="B8" s="174" t="n">
        <v>1.5</v>
      </c>
      <c r="C8" s="174" t="n">
        <v>1.5</v>
      </c>
      <c r="D8" s="174" t="n">
        <v>1.5</v>
      </c>
    </row>
    <row r="9" customFormat="false" ht="14.25" hidden="false" customHeight="false" outlineLevel="0" collapsed="false">
      <c r="A9" s="174" t="n">
        <v>1.6</v>
      </c>
      <c r="B9" s="174" t="n">
        <v>1.6</v>
      </c>
      <c r="C9" s="174"/>
      <c r="D9" s="174"/>
    </row>
    <row r="10" customFormat="false" ht="14.25" hidden="false" customHeight="false" outlineLevel="0" collapsed="false">
      <c r="A10" s="174" t="n">
        <v>1.8</v>
      </c>
      <c r="B10" s="174" t="n">
        <v>1.8</v>
      </c>
      <c r="C10" s="174"/>
      <c r="D10" s="174"/>
    </row>
    <row r="11" customFormat="false" ht="14.25" hidden="false" customHeight="false" outlineLevel="0" collapsed="false">
      <c r="A11" s="174" t="n">
        <v>2</v>
      </c>
      <c r="B11" s="174" t="n">
        <v>2</v>
      </c>
      <c r="C11" s="174"/>
      <c r="D11" s="174"/>
    </row>
    <row r="12" customFormat="false" ht="14.25" hidden="false" customHeight="false" outlineLevel="0" collapsed="false">
      <c r="A12" s="174" t="n">
        <v>2.2</v>
      </c>
      <c r="B12" s="174" t="n">
        <v>2.2</v>
      </c>
      <c r="C12" s="174" t="n">
        <v>2.2</v>
      </c>
      <c r="D12" s="174" t="n">
        <v>2.2</v>
      </c>
    </row>
    <row r="13" customFormat="false" ht="14.25" hidden="false" customHeight="false" outlineLevel="0" collapsed="false">
      <c r="A13" s="174" t="n">
        <v>2.4</v>
      </c>
      <c r="B13" s="174" t="n">
        <v>2.4</v>
      </c>
      <c r="C13" s="174"/>
      <c r="D13" s="174"/>
    </row>
    <row r="14" customFormat="false" ht="14.25" hidden="false" customHeight="false" outlineLevel="0" collapsed="false">
      <c r="A14" s="174" t="n">
        <v>2.7</v>
      </c>
      <c r="B14" s="174" t="n">
        <v>2.7</v>
      </c>
      <c r="C14" s="174"/>
      <c r="D14" s="174"/>
    </row>
    <row r="15" customFormat="false" ht="14.25" hidden="false" customHeight="false" outlineLevel="0" collapsed="false">
      <c r="A15" s="174" t="n">
        <v>3</v>
      </c>
      <c r="B15" s="174" t="n">
        <v>3</v>
      </c>
      <c r="C15" s="174"/>
      <c r="D15" s="174"/>
    </row>
    <row r="16" customFormat="false" ht="14.25" hidden="false" customHeight="false" outlineLevel="0" collapsed="false">
      <c r="A16" s="174" t="n">
        <v>3.3</v>
      </c>
      <c r="B16" s="174" t="n">
        <v>3.3</v>
      </c>
      <c r="C16" s="174" t="n">
        <v>3.3</v>
      </c>
      <c r="D16" s="174" t="n">
        <v>3.3</v>
      </c>
    </row>
    <row r="17" customFormat="false" ht="14.25" hidden="false" customHeight="false" outlineLevel="0" collapsed="false">
      <c r="A17" s="174" t="n">
        <v>3.6</v>
      </c>
      <c r="B17" s="174" t="n">
        <v>3.6</v>
      </c>
      <c r="C17" s="174" t="n">
        <f aca="false">C18</f>
        <v>4.7</v>
      </c>
      <c r="D17" s="174"/>
    </row>
    <row r="18" customFormat="false" ht="14.25" hidden="false" customHeight="false" outlineLevel="0" collapsed="false">
      <c r="A18" s="174" t="n">
        <v>3.9</v>
      </c>
      <c r="B18" s="174" t="n">
        <v>3.9</v>
      </c>
      <c r="C18" s="174" t="n">
        <f aca="false">C19</f>
        <v>4.7</v>
      </c>
      <c r="D18" s="174"/>
    </row>
    <row r="19" customFormat="false" ht="14.25" hidden="false" customHeight="false" outlineLevel="0" collapsed="false">
      <c r="A19" s="174" t="n">
        <v>4.3</v>
      </c>
      <c r="B19" s="174" t="n">
        <v>4.3</v>
      </c>
      <c r="C19" s="174" t="n">
        <f aca="false">C20</f>
        <v>4.7</v>
      </c>
      <c r="D19" s="174"/>
    </row>
    <row r="20" customFormat="false" ht="14.25" hidden="false" customHeight="false" outlineLevel="0" collapsed="false">
      <c r="A20" s="174" t="n">
        <v>4.7</v>
      </c>
      <c r="B20" s="174" t="n">
        <v>4.7</v>
      </c>
      <c r="C20" s="174" t="n">
        <v>4.7</v>
      </c>
      <c r="D20" s="174" t="n">
        <v>4.7</v>
      </c>
    </row>
    <row r="21" customFormat="false" ht="14.25" hidden="false" customHeight="false" outlineLevel="0" collapsed="false">
      <c r="A21" s="174" t="n">
        <v>5.1</v>
      </c>
      <c r="B21" s="174" t="n">
        <v>5.1</v>
      </c>
      <c r="C21" s="174" t="n">
        <f aca="false">C22</f>
        <v>6.8</v>
      </c>
      <c r="D21" s="174"/>
    </row>
    <row r="22" customFormat="false" ht="14.25" hidden="false" customHeight="false" outlineLevel="0" collapsed="false">
      <c r="A22" s="174" t="n">
        <v>5.6</v>
      </c>
      <c r="B22" s="174" t="n">
        <v>5.6</v>
      </c>
      <c r="C22" s="174" t="n">
        <f aca="false">C23</f>
        <v>6.8</v>
      </c>
      <c r="D22" s="174"/>
    </row>
    <row r="23" customFormat="false" ht="14.25" hidden="false" customHeight="false" outlineLevel="0" collapsed="false">
      <c r="A23" s="174" t="n">
        <v>6.2</v>
      </c>
      <c r="B23" s="174" t="n">
        <v>6.2</v>
      </c>
      <c r="C23" s="174" t="n">
        <f aca="false">C24</f>
        <v>6.8</v>
      </c>
      <c r="D23" s="174"/>
    </row>
    <row r="24" customFormat="false" ht="14.25" hidden="false" customHeight="false" outlineLevel="0" collapsed="false">
      <c r="A24" s="174" t="n">
        <v>6.8</v>
      </c>
      <c r="B24" s="174" t="n">
        <v>6.8</v>
      </c>
      <c r="C24" s="174" t="n">
        <v>6.8</v>
      </c>
      <c r="D24" s="174" t="n">
        <v>6.8</v>
      </c>
    </row>
    <row r="25" customFormat="false" ht="14.25" hidden="false" customHeight="false" outlineLevel="0" collapsed="false">
      <c r="A25" s="174" t="n">
        <v>7.5</v>
      </c>
      <c r="B25" s="174" t="n">
        <v>7.5</v>
      </c>
      <c r="C25" s="174" t="n">
        <f aca="false">C26</f>
        <v>10</v>
      </c>
      <c r="D25" s="174"/>
    </row>
    <row r="26" customFormat="false" ht="14.25" hidden="false" customHeight="false" outlineLevel="0" collapsed="false">
      <c r="A26" s="174" t="n">
        <v>8.2</v>
      </c>
      <c r="B26" s="174" t="n">
        <v>8.2</v>
      </c>
      <c r="C26" s="174" t="n">
        <f aca="false">C27</f>
        <v>10</v>
      </c>
      <c r="D26" s="174"/>
    </row>
    <row r="27" customFormat="false" ht="14.25" hidden="false" customHeight="false" outlineLevel="0" collapsed="false">
      <c r="A27" s="174" t="n">
        <v>9.1</v>
      </c>
      <c r="B27" s="174" t="n">
        <v>9.1</v>
      </c>
      <c r="C27" s="174" t="n">
        <f aca="false">C28</f>
        <v>10</v>
      </c>
      <c r="D27" s="174"/>
    </row>
    <row r="28" customFormat="false" ht="14.25" hidden="false" customHeight="false" outlineLevel="0" collapsed="false">
      <c r="A28" s="174" t="n">
        <v>10</v>
      </c>
      <c r="B28" s="174" t="n">
        <v>10</v>
      </c>
      <c r="C28" s="174" t="n">
        <v>10</v>
      </c>
      <c r="D28" s="174" t="n">
        <v>10</v>
      </c>
    </row>
    <row r="29" customFormat="false" ht="14.25" hidden="false" customHeight="false" outlineLevel="0" collapsed="false">
      <c r="A29" s="174" t="n">
        <v>11</v>
      </c>
      <c r="B29" s="174" t="n">
        <f aca="false">B30</f>
        <v>15</v>
      </c>
      <c r="C29" s="174" t="n">
        <f aca="false">C30</f>
        <v>15</v>
      </c>
      <c r="D29" s="174"/>
    </row>
    <row r="30" customFormat="false" ht="14.25" hidden="false" customHeight="false" outlineLevel="0" collapsed="false">
      <c r="A30" s="174" t="n">
        <v>12</v>
      </c>
      <c r="B30" s="174" t="n">
        <f aca="false">B31</f>
        <v>15</v>
      </c>
      <c r="C30" s="174" t="n">
        <f aca="false">C31</f>
        <v>15</v>
      </c>
      <c r="D30" s="174"/>
    </row>
    <row r="31" customFormat="false" ht="14.25" hidden="false" customHeight="false" outlineLevel="0" collapsed="false">
      <c r="A31" s="174" t="n">
        <v>13</v>
      </c>
      <c r="B31" s="174" t="n">
        <f aca="false">B32</f>
        <v>15</v>
      </c>
      <c r="C31" s="174" t="n">
        <f aca="false">C32</f>
        <v>15</v>
      </c>
      <c r="D31" s="174"/>
    </row>
    <row r="32" customFormat="false" ht="14.25" hidden="false" customHeight="false" outlineLevel="0" collapsed="false">
      <c r="A32" s="174" t="n">
        <v>15</v>
      </c>
      <c r="B32" s="174" t="n">
        <v>15</v>
      </c>
      <c r="C32" s="174" t="n">
        <v>15</v>
      </c>
      <c r="D32" s="174"/>
      <c r="F32" s="175"/>
    </row>
    <row r="33" customFormat="false" ht="14.25" hidden="false" customHeight="false" outlineLevel="0" collapsed="false">
      <c r="A33" s="174" t="n">
        <v>16</v>
      </c>
      <c r="B33" s="174" t="n">
        <f aca="false">B34</f>
        <v>22</v>
      </c>
      <c r="C33" s="174" t="n">
        <f aca="false">C34</f>
        <v>22</v>
      </c>
      <c r="D33" s="174"/>
    </row>
    <row r="34" customFormat="false" ht="14.25" hidden="false" customHeight="false" outlineLevel="0" collapsed="false">
      <c r="A34" s="174" t="n">
        <v>18</v>
      </c>
      <c r="B34" s="174" t="n">
        <f aca="false">B35</f>
        <v>22</v>
      </c>
      <c r="C34" s="174" t="n">
        <f aca="false">C35</f>
        <v>22</v>
      </c>
      <c r="D34" s="174"/>
    </row>
    <row r="35" customFormat="false" ht="14.25" hidden="false" customHeight="false" outlineLevel="0" collapsed="false">
      <c r="A35" s="174" t="n">
        <v>20</v>
      </c>
      <c r="B35" s="174" t="n">
        <f aca="false">B36</f>
        <v>22</v>
      </c>
      <c r="C35" s="174" t="n">
        <f aca="false">C36</f>
        <v>22</v>
      </c>
      <c r="D35" s="174"/>
    </row>
    <row r="36" customFormat="false" ht="14.25" hidden="false" customHeight="false" outlineLevel="0" collapsed="false">
      <c r="A36" s="174" t="n">
        <v>22</v>
      </c>
      <c r="B36" s="174" t="n">
        <v>22</v>
      </c>
      <c r="C36" s="174" t="n">
        <v>22</v>
      </c>
      <c r="D36" s="174"/>
    </row>
    <row r="37" customFormat="false" ht="14.25" hidden="false" customHeight="false" outlineLevel="0" collapsed="false">
      <c r="A37" s="174" t="n">
        <v>24</v>
      </c>
      <c r="B37" s="174" t="n">
        <f aca="false">B38</f>
        <v>33</v>
      </c>
      <c r="C37" s="174" t="n">
        <f aca="false">C38</f>
        <v>33</v>
      </c>
      <c r="D37" s="174"/>
    </row>
    <row r="38" customFormat="false" ht="14.25" hidden="false" customHeight="false" outlineLevel="0" collapsed="false">
      <c r="A38" s="174" t="n">
        <v>27</v>
      </c>
      <c r="B38" s="174" t="n">
        <f aca="false">B39</f>
        <v>33</v>
      </c>
      <c r="C38" s="174" t="n">
        <f aca="false">C39</f>
        <v>33</v>
      </c>
      <c r="D38" s="174"/>
    </row>
    <row r="39" customFormat="false" ht="14.25" hidden="false" customHeight="false" outlineLevel="0" collapsed="false">
      <c r="A39" s="174" t="n">
        <v>30</v>
      </c>
      <c r="B39" s="174" t="n">
        <f aca="false">B40</f>
        <v>33</v>
      </c>
      <c r="C39" s="174" t="n">
        <f aca="false">C40</f>
        <v>33</v>
      </c>
      <c r="D39" s="174"/>
    </row>
    <row r="40" customFormat="false" ht="14.25" hidden="false" customHeight="false" outlineLevel="0" collapsed="false">
      <c r="A40" s="174" t="n">
        <v>33</v>
      </c>
      <c r="B40" s="174" t="n">
        <v>33</v>
      </c>
      <c r="C40" s="174" t="n">
        <v>33</v>
      </c>
      <c r="D40" s="174"/>
    </row>
    <row r="41" customFormat="false" ht="14.25" hidden="false" customHeight="false" outlineLevel="0" collapsed="false">
      <c r="A41" s="174" t="n">
        <v>36</v>
      </c>
      <c r="B41" s="174" t="n">
        <f aca="false">B42</f>
        <v>47</v>
      </c>
      <c r="C41" s="174" t="n">
        <f aca="false">C42</f>
        <v>47</v>
      </c>
      <c r="D41" s="174"/>
    </row>
    <row r="42" customFormat="false" ht="14.25" hidden="false" customHeight="false" outlineLevel="0" collapsed="false">
      <c r="A42" s="174" t="n">
        <v>39</v>
      </c>
      <c r="B42" s="174" t="n">
        <f aca="false">B43</f>
        <v>47</v>
      </c>
      <c r="C42" s="174" t="n">
        <f aca="false">C43</f>
        <v>47</v>
      </c>
      <c r="D42" s="174"/>
    </row>
    <row r="43" customFormat="false" ht="14.25" hidden="false" customHeight="false" outlineLevel="0" collapsed="false">
      <c r="A43" s="174" t="n">
        <v>43</v>
      </c>
      <c r="B43" s="174" t="n">
        <f aca="false">B44</f>
        <v>47</v>
      </c>
      <c r="C43" s="174" t="n">
        <f aca="false">C44</f>
        <v>47</v>
      </c>
      <c r="D43" s="174"/>
    </row>
    <row r="44" customFormat="false" ht="14.25" hidden="false" customHeight="false" outlineLevel="0" collapsed="false">
      <c r="A44" s="174" t="n">
        <v>47</v>
      </c>
      <c r="B44" s="174" t="n">
        <v>47</v>
      </c>
      <c r="C44" s="174" t="n">
        <v>47</v>
      </c>
      <c r="D44" s="174"/>
    </row>
    <row r="45" customFormat="false" ht="14.25" hidden="false" customHeight="false" outlineLevel="0" collapsed="false">
      <c r="A45" s="174" t="n">
        <v>51</v>
      </c>
      <c r="B45" s="174" t="n">
        <f aca="false">B46</f>
        <v>68</v>
      </c>
      <c r="C45" s="174" t="n">
        <f aca="false">C46</f>
        <v>68</v>
      </c>
      <c r="D45" s="174"/>
    </row>
    <row r="46" customFormat="false" ht="14.25" hidden="false" customHeight="false" outlineLevel="0" collapsed="false">
      <c r="A46" s="174" t="n">
        <v>56</v>
      </c>
      <c r="B46" s="174" t="n">
        <f aca="false">B47</f>
        <v>68</v>
      </c>
      <c r="C46" s="174" t="n">
        <f aca="false">C47</f>
        <v>68</v>
      </c>
      <c r="D46" s="174"/>
    </row>
    <row r="47" customFormat="false" ht="14.25" hidden="false" customHeight="false" outlineLevel="0" collapsed="false">
      <c r="A47" s="174" t="n">
        <v>62</v>
      </c>
      <c r="B47" s="174" t="n">
        <f aca="false">B48</f>
        <v>68</v>
      </c>
      <c r="C47" s="174" t="n">
        <f aca="false">C48</f>
        <v>68</v>
      </c>
      <c r="D47" s="174"/>
    </row>
    <row r="48" customFormat="false" ht="14.25" hidden="false" customHeight="false" outlineLevel="0" collapsed="false">
      <c r="A48" s="174" t="n">
        <v>68</v>
      </c>
      <c r="B48" s="174" t="n">
        <v>68</v>
      </c>
      <c r="C48" s="174" t="n">
        <v>68</v>
      </c>
      <c r="D48" s="174"/>
    </row>
    <row r="49" customFormat="false" ht="14.25" hidden="false" customHeight="false" outlineLevel="0" collapsed="false">
      <c r="A49" s="174" t="n">
        <v>75</v>
      </c>
      <c r="B49" s="174" t="n">
        <f aca="false">B50</f>
        <v>100</v>
      </c>
      <c r="C49" s="174" t="n">
        <f aca="false">C50</f>
        <v>100</v>
      </c>
      <c r="D49" s="174"/>
    </row>
    <row r="50" customFormat="false" ht="14.25" hidden="false" customHeight="false" outlineLevel="0" collapsed="false">
      <c r="A50" s="174" t="n">
        <v>82</v>
      </c>
      <c r="B50" s="174" t="n">
        <f aca="false">B51</f>
        <v>100</v>
      </c>
      <c r="C50" s="174" t="n">
        <f aca="false">C51</f>
        <v>100</v>
      </c>
      <c r="D50" s="174"/>
    </row>
    <row r="51" customFormat="false" ht="14.25" hidden="false" customHeight="false" outlineLevel="0" collapsed="false">
      <c r="A51" s="174" t="n">
        <v>91</v>
      </c>
      <c r="B51" s="174" t="n">
        <f aca="false">B52</f>
        <v>100</v>
      </c>
      <c r="C51" s="174" t="n">
        <f aca="false">C52</f>
        <v>100</v>
      </c>
      <c r="D51" s="174"/>
    </row>
    <row r="52" customFormat="false" ht="14.25" hidden="false" customHeight="false" outlineLevel="0" collapsed="false">
      <c r="A52" s="174" t="n">
        <v>100</v>
      </c>
      <c r="B52" s="174" t="n">
        <v>100</v>
      </c>
      <c r="C52" s="174" t="n">
        <v>100</v>
      </c>
    </row>
    <row r="53" customFormat="false" ht="14.25" hidden="false" customHeight="false" outlineLevel="0" collapsed="false">
      <c r="A53" s="174" t="n">
        <v>110</v>
      </c>
      <c r="B53" s="174" t="n">
        <f aca="false">B54</f>
        <v>150</v>
      </c>
      <c r="C53" s="174" t="n">
        <f aca="false">C54</f>
        <v>150</v>
      </c>
    </row>
    <row r="54" customFormat="false" ht="14.25" hidden="false" customHeight="false" outlineLevel="0" collapsed="false">
      <c r="A54" s="174" t="n">
        <v>120</v>
      </c>
      <c r="B54" s="174" t="n">
        <f aca="false">B55</f>
        <v>150</v>
      </c>
      <c r="C54" s="174" t="n">
        <f aca="false">C55</f>
        <v>150</v>
      </c>
    </row>
    <row r="55" customFormat="false" ht="14.25" hidden="false" customHeight="false" outlineLevel="0" collapsed="false">
      <c r="A55" s="174" t="n">
        <v>130</v>
      </c>
      <c r="B55" s="174" t="n">
        <f aca="false">B56</f>
        <v>150</v>
      </c>
      <c r="C55" s="174" t="n">
        <f aca="false">C56</f>
        <v>150</v>
      </c>
    </row>
    <row r="56" customFormat="false" ht="14.25" hidden="false" customHeight="false" outlineLevel="0" collapsed="false">
      <c r="A56" s="174" t="n">
        <v>150</v>
      </c>
      <c r="B56" s="174" t="n">
        <v>150</v>
      </c>
      <c r="C56" s="174" t="n">
        <v>150</v>
      </c>
    </row>
    <row r="57" customFormat="false" ht="14.25" hidden="false" customHeight="false" outlineLevel="0" collapsed="false">
      <c r="A57" s="174" t="n">
        <v>160</v>
      </c>
      <c r="B57" s="174" t="n">
        <f aca="false">B58</f>
        <v>220</v>
      </c>
      <c r="C57" s="174" t="n">
        <f aca="false">C58</f>
        <v>220</v>
      </c>
    </row>
    <row r="58" customFormat="false" ht="14.25" hidden="false" customHeight="false" outlineLevel="0" collapsed="false">
      <c r="A58" s="174" t="n">
        <v>180</v>
      </c>
      <c r="B58" s="174" t="n">
        <f aca="false">B59</f>
        <v>220</v>
      </c>
      <c r="C58" s="174" t="n">
        <f aca="false">C59</f>
        <v>220</v>
      </c>
    </row>
    <row r="59" customFormat="false" ht="14.25" hidden="false" customHeight="false" outlineLevel="0" collapsed="false">
      <c r="A59" s="174" t="n">
        <v>200</v>
      </c>
      <c r="B59" s="174" t="n">
        <f aca="false">B60</f>
        <v>220</v>
      </c>
      <c r="C59" s="174" t="n">
        <f aca="false">C60</f>
        <v>220</v>
      </c>
    </row>
    <row r="60" customFormat="false" ht="14.25" hidden="false" customHeight="false" outlineLevel="0" collapsed="false">
      <c r="A60" s="174" t="n">
        <v>220</v>
      </c>
      <c r="B60" s="174" t="n">
        <v>220</v>
      </c>
      <c r="C60" s="174" t="n">
        <v>220</v>
      </c>
    </row>
    <row r="61" customFormat="false" ht="14.25" hidden="false" customHeight="false" outlineLevel="0" collapsed="false">
      <c r="A61" s="174" t="n">
        <v>240</v>
      </c>
      <c r="B61" s="174" t="n">
        <f aca="false">B62</f>
        <v>330</v>
      </c>
      <c r="C61" s="174" t="n">
        <f aca="false">C62</f>
        <v>330</v>
      </c>
    </row>
    <row r="62" customFormat="false" ht="14.25" hidden="false" customHeight="false" outlineLevel="0" collapsed="false">
      <c r="A62" s="174" t="n">
        <v>270</v>
      </c>
      <c r="B62" s="174" t="n">
        <f aca="false">B63</f>
        <v>330</v>
      </c>
      <c r="C62" s="174" t="n">
        <f aca="false">C63</f>
        <v>330</v>
      </c>
    </row>
    <row r="63" customFormat="false" ht="14.25" hidden="false" customHeight="false" outlineLevel="0" collapsed="false">
      <c r="A63" s="174" t="n">
        <v>300</v>
      </c>
      <c r="B63" s="174" t="n">
        <f aca="false">B64</f>
        <v>330</v>
      </c>
      <c r="C63" s="174" t="n">
        <f aca="false">C64</f>
        <v>330</v>
      </c>
    </row>
    <row r="64" customFormat="false" ht="14.25" hidden="false" customHeight="false" outlineLevel="0" collapsed="false">
      <c r="A64" s="174" t="n">
        <v>330</v>
      </c>
      <c r="B64" s="174" t="n">
        <v>330</v>
      </c>
      <c r="C64" s="174" t="n">
        <v>330</v>
      </c>
    </row>
    <row r="65" customFormat="false" ht="14.25" hidden="false" customHeight="false" outlineLevel="0" collapsed="false">
      <c r="A65" s="174" t="n">
        <v>360</v>
      </c>
      <c r="B65" s="174" t="n">
        <f aca="false">B66</f>
        <v>470</v>
      </c>
      <c r="C65" s="174" t="n">
        <f aca="false">C66</f>
        <v>470</v>
      </c>
    </row>
    <row r="66" customFormat="false" ht="14.25" hidden="false" customHeight="false" outlineLevel="0" collapsed="false">
      <c r="A66" s="174" t="n">
        <v>390</v>
      </c>
      <c r="B66" s="174" t="n">
        <f aca="false">B67</f>
        <v>470</v>
      </c>
      <c r="C66" s="174" t="n">
        <f aca="false">C67</f>
        <v>470</v>
      </c>
    </row>
    <row r="67" customFormat="false" ht="14.25" hidden="false" customHeight="false" outlineLevel="0" collapsed="false">
      <c r="A67" s="174" t="n">
        <v>430</v>
      </c>
      <c r="B67" s="174" t="n">
        <f aca="false">B68</f>
        <v>470</v>
      </c>
      <c r="C67" s="174" t="n">
        <f aca="false">C68</f>
        <v>470</v>
      </c>
    </row>
    <row r="68" customFormat="false" ht="14.25" hidden="false" customHeight="false" outlineLevel="0" collapsed="false">
      <c r="A68" s="174" t="n">
        <v>470</v>
      </c>
      <c r="B68" s="174" t="n">
        <v>470</v>
      </c>
      <c r="C68" s="174" t="n">
        <v>470</v>
      </c>
    </row>
    <row r="69" customFormat="false" ht="14.25" hidden="false" customHeight="false" outlineLevel="0" collapsed="false">
      <c r="A69" s="174" t="n">
        <v>510</v>
      </c>
      <c r="B69" s="174" t="n">
        <f aca="false">B70</f>
        <v>680</v>
      </c>
      <c r="C69" s="174" t="n">
        <f aca="false">C70</f>
        <v>680</v>
      </c>
    </row>
    <row r="70" customFormat="false" ht="14.25" hidden="false" customHeight="false" outlineLevel="0" collapsed="false">
      <c r="A70" s="174" t="n">
        <v>560</v>
      </c>
      <c r="B70" s="174" t="n">
        <f aca="false">B71</f>
        <v>680</v>
      </c>
      <c r="C70" s="174" t="n">
        <f aca="false">C71</f>
        <v>680</v>
      </c>
    </row>
    <row r="71" customFormat="false" ht="14.25" hidden="false" customHeight="false" outlineLevel="0" collapsed="false">
      <c r="A71" s="174" t="n">
        <v>620</v>
      </c>
      <c r="B71" s="174" t="n">
        <f aca="false">B72</f>
        <v>680</v>
      </c>
      <c r="C71" s="174" t="n">
        <f aca="false">C72</f>
        <v>680</v>
      </c>
    </row>
    <row r="72" customFormat="false" ht="14.25" hidden="false" customHeight="false" outlineLevel="0" collapsed="false">
      <c r="A72" s="174" t="n">
        <v>680</v>
      </c>
      <c r="B72" s="174" t="n">
        <v>680</v>
      </c>
      <c r="C72" s="174" t="n">
        <v>680</v>
      </c>
    </row>
    <row r="73" customFormat="false" ht="14.25" hidden="false" customHeight="false" outlineLevel="0" collapsed="false">
      <c r="A73" s="174" t="n">
        <v>750</v>
      </c>
      <c r="B73" s="174" t="n">
        <f aca="false">B74</f>
        <v>1000</v>
      </c>
      <c r="C73" s="174" t="n">
        <f aca="false">C74</f>
        <v>1000</v>
      </c>
    </row>
    <row r="74" customFormat="false" ht="14.25" hidden="false" customHeight="false" outlineLevel="0" collapsed="false">
      <c r="A74" s="174" t="n">
        <v>820</v>
      </c>
      <c r="B74" s="174" t="n">
        <f aca="false">B75</f>
        <v>1000</v>
      </c>
      <c r="C74" s="174" t="n">
        <f aca="false">C75</f>
        <v>1000</v>
      </c>
    </row>
    <row r="75" customFormat="false" ht="14.25" hidden="false" customHeight="false" outlineLevel="0" collapsed="false">
      <c r="A75" s="174" t="n">
        <v>910</v>
      </c>
      <c r="B75" s="174" t="n">
        <v>1000</v>
      </c>
      <c r="C75" s="174" t="n">
        <v>1000</v>
      </c>
    </row>
  </sheetData>
  <sheetProtection sheet="true" objects="true" scenarios="true"/>
  <hyperlinks>
    <hyperlink ref="A1" r:id="rId1" display="Standard Capacitor Values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LibreOffice/26.2.4.2$Windows_X86_64 LibreOffice_project/0229ac93fcf0d7cbc6376066c6f35021cef002dc</Application>
  <AppVersion>15.0000</AppVersion>
  <Company>Texas Instruments Incorporated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2013-05-30T14:28:05Z</dcterms:created>
  <dc:creator>vishal.gupta@ti.com</dc:creator>
  <dc:description/>
  <dc:language>nl-NL</dc:language>
  <cp:lastModifiedBy/>
  <cp:lastPrinted>2013-06-05T10:58:25Z</cp:lastPrinted>
  <dcterms:modified xsi:type="dcterms:W3CDTF">2026-07-24T22:17:07Z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